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Sheet1" sheetId="1" state="visible" r:id="rId1"/>
    <sheet name="Sheet2" sheetId="2" state="visible" r:id="rId2"/>
    <sheet name="Errors" sheetId="3" state="visible" r:id="rId3"/>
  </sheets>
  <definedNames>
    <definedName name="_xlnm._FilterDatabase" localSheetId="0" hidden="1">'Sheet1'!$A$3:$E$3</definedName>
    <definedName name="_xlnm._FilterDatabase" localSheetId="1" hidden="1">'Sheet2'!$A$1:$U$53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₹&quot;\ * #,##0.00_ ;_ &quot;₹&quot;\ * \-#,##0.00_ ;_ &quot;₹&quot;\ * &quot;-&quot;??_ ;_ @_ "/>
    <numFmt numFmtId="165" formatCode="_ * #,##0.00_ ;_ * \-#,##0.00_ ;_ * &quot;-&quot;??_ ;_ @_ 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sz val="11"/>
    </font>
    <font>
      <name val="Aptos Narrow"/>
      <b val="1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5" fontId="0" fillId="0" borderId="1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1" pivotButton="0" quotePrefix="0" xfId="0"/>
    <xf numFmtId="165" fontId="1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2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7"/>
  <sheetViews>
    <sheetView topLeftCell="A3" workbookViewId="0">
      <selection activeCell="B3" sqref="B3"/>
    </sheetView>
  </sheetViews>
  <sheetFormatPr baseColWidth="8" defaultRowHeight="14.25"/>
  <sheetData>
    <row r="2">
      <c r="A2" s="7" t="inlineStr">
        <is>
          <t>2A</t>
        </is>
      </c>
      <c r="D2" s="7" t="inlineStr">
        <is>
          <t>2B</t>
        </is>
      </c>
    </row>
    <row r="3" ht="15" customHeight="1">
      <c r="A3" s="2" t="inlineStr">
        <is>
          <t>GSTIN</t>
        </is>
      </c>
      <c r="B3" s="2" t="inlineStr">
        <is>
          <t>PARTY NAME</t>
        </is>
      </c>
      <c r="D3" s="2" t="inlineStr">
        <is>
          <t>GSTIN</t>
        </is>
      </c>
      <c r="E3" s="2" t="inlineStr">
        <is>
          <t>PARTY NAME</t>
        </is>
      </c>
    </row>
    <row r="4" ht="15" customHeight="1">
      <c r="A4" t="inlineStr">
        <is>
          <t>27AHXPG7714R1ZA</t>
        </is>
      </c>
      <c r="B4" t="inlineStr">
        <is>
          <t>ASHOK TULSHIRAM GAIKWAD</t>
        </is>
      </c>
      <c r="C4">
        <f>+VLOOKUP(A4,$D$3:$E$48,2,FALSE)</f>
        <v/>
      </c>
      <c r="D4" s="1" t="inlineStr">
        <is>
          <t>27AHXPG7714R1ZA</t>
        </is>
      </c>
      <c r="E4" s="1" t="inlineStr">
        <is>
          <t>YASH ENTERPRISES</t>
        </is>
      </c>
    </row>
    <row r="5" ht="15" customHeight="1">
      <c r="A5" t="inlineStr">
        <is>
          <t>27AHXPG7714R1ZA</t>
        </is>
      </c>
      <c r="B5" t="inlineStr">
        <is>
          <t>ASHOK TULSHIRAM GAIKWAD</t>
        </is>
      </c>
      <c r="C5">
        <f>+VLOOKUP(A5,$D$3:$E$48,2,FALSE)</f>
        <v/>
      </c>
      <c r="D5" s="1" t="inlineStr">
        <is>
          <t>27DIZPK3245R1Z4</t>
        </is>
      </c>
      <c r="E5" s="1" t="inlineStr">
        <is>
          <t>GALAXY ENTERPRISES</t>
        </is>
      </c>
    </row>
    <row r="6" ht="15" customHeight="1">
      <c r="A6" t="inlineStr">
        <is>
          <t>27AHXPG7714R1ZA</t>
        </is>
      </c>
      <c r="B6" t="inlineStr">
        <is>
          <t>ASHOK TULSHIRAM GAIKWAD</t>
        </is>
      </c>
      <c r="C6">
        <f>+VLOOKUP(A6,$D$3:$E$48,2,FALSE)</f>
        <v/>
      </c>
      <c r="D6" s="1" t="inlineStr">
        <is>
          <t>27AVTPM1741J1Z4</t>
        </is>
      </c>
      <c r="E6" s="1" t="inlineStr">
        <is>
          <t>JIHAN ENTERPRISES</t>
        </is>
      </c>
    </row>
    <row r="7" ht="15" customHeight="1">
      <c r="A7" t="inlineStr">
        <is>
          <t>27AHXPG7714R1ZA</t>
        </is>
      </c>
      <c r="B7" t="inlineStr">
        <is>
          <t>ASHOK TULSHIRAM GAIKWAD</t>
        </is>
      </c>
      <c r="C7">
        <f>+VLOOKUP(A7,$D$3:$E$48,2,FALSE)</f>
        <v/>
      </c>
      <c r="D7" s="1" t="inlineStr">
        <is>
          <t>27AHXPG7714R1ZA</t>
        </is>
      </c>
      <c r="E7" s="1" t="inlineStr">
        <is>
          <t>YASH ENTERPRISES</t>
        </is>
      </c>
    </row>
    <row r="8" ht="15" customHeight="1">
      <c r="A8" t="inlineStr">
        <is>
          <t>27AHXPG7714R1ZA</t>
        </is>
      </c>
      <c r="B8" t="inlineStr">
        <is>
          <t>ASHOK TULSHIRAM GAIKWAD</t>
        </is>
      </c>
      <c r="C8">
        <f>+VLOOKUP(A8,$D$3:$E$48,2,FALSE)</f>
        <v/>
      </c>
      <c r="D8" s="1" t="inlineStr">
        <is>
          <t>27AAACZ8867B1Z0</t>
        </is>
      </c>
      <c r="E8" s="1" t="inlineStr">
        <is>
          <t>ZOMATO HYPERPURE PRIVATE LIMITED</t>
        </is>
      </c>
    </row>
    <row r="9" ht="15" customHeight="1">
      <c r="A9" t="inlineStr">
        <is>
          <t>27AHXPG7714R1ZA</t>
        </is>
      </c>
      <c r="B9" t="inlineStr">
        <is>
          <t>ASHOK TULSHIRAM GAIKWAD</t>
        </is>
      </c>
      <c r="C9">
        <f>+VLOOKUP(A9,$D$3:$E$48,2,FALSE)</f>
        <v/>
      </c>
      <c r="D9" s="1" t="inlineStr">
        <is>
          <t>27AAACZ8867B1Z0</t>
        </is>
      </c>
      <c r="E9" s="1" t="inlineStr">
        <is>
          <t>ZOMATO HYPERPURE PRIVATE LIMITED</t>
        </is>
      </c>
    </row>
    <row r="10" ht="15" customHeight="1">
      <c r="A10" t="inlineStr">
        <is>
          <t>27AHXPG7714R1ZA</t>
        </is>
      </c>
      <c r="B10" t="inlineStr">
        <is>
          <t>ASHOK TULSHIRAM GAIKWAD</t>
        </is>
      </c>
      <c r="C10">
        <f>+VLOOKUP(A10,$D$3:$E$48,2,FALSE)</f>
        <v/>
      </c>
      <c r="D10" s="1" t="inlineStr">
        <is>
          <t>27AANFS6073J1ZL</t>
        </is>
      </c>
      <c r="E10" s="1" t="inlineStr">
        <is>
          <t>SAURASHTRA OIL DEPOT</t>
        </is>
      </c>
    </row>
    <row r="11" ht="15" customHeight="1">
      <c r="A11" t="inlineStr">
        <is>
          <t>27AHXPG7714R1ZA</t>
        </is>
      </c>
      <c r="B11" t="inlineStr">
        <is>
          <t>ASHOK TULSHIRAM GAIKWAD</t>
        </is>
      </c>
      <c r="C11">
        <f>+VLOOKUP(A11,$D$3:$E$48,2,FALSE)</f>
        <v/>
      </c>
      <c r="D11" s="1" t="inlineStr">
        <is>
          <t>27AHXPG7714R1ZA</t>
        </is>
      </c>
      <c r="E11" s="1" t="inlineStr">
        <is>
          <t>YASH ENTERPRISES</t>
        </is>
      </c>
    </row>
    <row r="12" ht="15" customHeight="1">
      <c r="A12" t="inlineStr">
        <is>
          <t>27AHXPG7714R1ZA</t>
        </is>
      </c>
      <c r="B12" t="inlineStr">
        <is>
          <t>ASHOK TULSHIRAM GAIKWAD</t>
        </is>
      </c>
      <c r="C12">
        <f>+VLOOKUP(A12,$D$3:$E$48,2,FALSE)</f>
        <v/>
      </c>
      <c r="D12" s="1" t="inlineStr">
        <is>
          <t>27DIZPK3245R1Z4</t>
        </is>
      </c>
      <c r="E12" s="1" t="inlineStr">
        <is>
          <t>GALAXY ENTERPRISES</t>
        </is>
      </c>
    </row>
    <row r="13" ht="15" customHeight="1">
      <c r="A13" t="inlineStr">
        <is>
          <t>27AHXPG7714R1ZA</t>
        </is>
      </c>
      <c r="B13" t="inlineStr">
        <is>
          <t>ASHOK TULSHIRAM GAIKWAD</t>
        </is>
      </c>
      <c r="C13">
        <f>+VLOOKUP(A13,$D$3:$E$48,2,FALSE)</f>
        <v/>
      </c>
      <c r="D13" s="1" t="inlineStr">
        <is>
          <t>27AVTPM1741J1Z4</t>
        </is>
      </c>
      <c r="E13" s="1" t="inlineStr">
        <is>
          <t>JIHAN ENTERPRISES</t>
        </is>
      </c>
    </row>
    <row r="14" ht="15" customHeight="1">
      <c r="A14" t="inlineStr">
        <is>
          <t>27AHXPG7714R1ZA</t>
        </is>
      </c>
      <c r="B14" t="inlineStr">
        <is>
          <t>ASHOK TULSHIRAM GAIKWAD</t>
        </is>
      </c>
      <c r="C14">
        <f>+VLOOKUP(A14,$D$3:$E$48,2,FALSE)</f>
        <v/>
      </c>
      <c r="D14" s="1" t="inlineStr">
        <is>
          <t>27AHXPG7714R1ZA</t>
        </is>
      </c>
      <c r="E14" s="1" t="inlineStr">
        <is>
          <t>YASH ENTERPRISES</t>
        </is>
      </c>
    </row>
    <row r="15" ht="15" customHeight="1">
      <c r="A15" t="inlineStr">
        <is>
          <t>27AHXPG7714R1ZA</t>
        </is>
      </c>
      <c r="B15" t="inlineStr">
        <is>
          <t>ASHOK TULSHIRAM GAIKWAD</t>
        </is>
      </c>
      <c r="C15">
        <f>+VLOOKUP(A15,$D$3:$E$48,2,FALSE)</f>
        <v/>
      </c>
      <c r="D15" s="1" t="inlineStr">
        <is>
          <t>27AHXPG7714R1ZA</t>
        </is>
      </c>
      <c r="E15" s="1" t="inlineStr">
        <is>
          <t>YASH ENTERPRISES</t>
        </is>
      </c>
    </row>
    <row r="16" ht="15" customHeight="1">
      <c r="A16" t="inlineStr">
        <is>
          <t>27AHXPG7714R1ZA</t>
        </is>
      </c>
      <c r="B16" t="inlineStr">
        <is>
          <t>ASHOK TULSHIRAM GAIKWAD</t>
        </is>
      </c>
      <c r="C16">
        <f>+VLOOKUP(A16,$D$3:$E$48,2,FALSE)</f>
        <v/>
      </c>
      <c r="D16" s="1" t="inlineStr">
        <is>
          <t>27ADWFS3449L1Z4</t>
        </is>
      </c>
      <c r="E16" s="1" t="inlineStr">
        <is>
          <t>SHREEJI ENTERPRISE</t>
        </is>
      </c>
    </row>
    <row r="17" ht="15" customHeight="1">
      <c r="A17" t="inlineStr">
        <is>
          <t>27AHXPG7714R1ZA</t>
        </is>
      </c>
      <c r="B17" t="inlineStr">
        <is>
          <t>ASHOK TULSHIRAM GAIKWAD</t>
        </is>
      </c>
      <c r="C17">
        <f>+VLOOKUP(A17,$D$3:$E$48,2,FALSE)</f>
        <v/>
      </c>
      <c r="D17" s="1" t="inlineStr">
        <is>
          <t>27DIZPK3245R1Z4</t>
        </is>
      </c>
      <c r="E17" s="1" t="inlineStr">
        <is>
          <t>GALAXY ENTERPRISES</t>
        </is>
      </c>
    </row>
    <row r="18" ht="15" customHeight="1">
      <c r="A18" t="inlineStr">
        <is>
          <t>27AHXPG7714R1ZA</t>
        </is>
      </c>
      <c r="B18" t="inlineStr">
        <is>
          <t>ASHOK TULSHIRAM GAIKWAD</t>
        </is>
      </c>
      <c r="C18">
        <f>+VLOOKUP(A18,$D$3:$E$48,2,FALSE)</f>
        <v/>
      </c>
      <c r="D18" s="1" t="inlineStr">
        <is>
          <t>27AVTPM1741J1Z4</t>
        </is>
      </c>
      <c r="E18" s="1" t="inlineStr">
        <is>
          <t>JIHAN ENTERPRISES</t>
        </is>
      </c>
    </row>
    <row r="19" ht="15" customHeight="1">
      <c r="A19" t="inlineStr">
        <is>
          <t>27AHXPG7714R1ZA</t>
        </is>
      </c>
      <c r="B19" t="inlineStr">
        <is>
          <t>ASHOK TULSHIRAM GAIKWAD</t>
        </is>
      </c>
      <c r="C19">
        <f>+VLOOKUP(A19,$D$3:$E$48,2,FALSE)</f>
        <v/>
      </c>
      <c r="D19" s="1" t="inlineStr">
        <is>
          <t>27AAACZ8867B1Z0</t>
        </is>
      </c>
      <c r="E19" s="1" t="inlineStr">
        <is>
          <t>ZOMATO HYPERPURE PRIVATE LIMITED</t>
        </is>
      </c>
    </row>
    <row r="20" ht="15" customHeight="1">
      <c r="A20" t="inlineStr">
        <is>
          <t>27AHXPG7714R1ZA</t>
        </is>
      </c>
      <c r="B20" t="inlineStr">
        <is>
          <t>ASHOK TULSHIRAM GAIKWAD</t>
        </is>
      </c>
      <c r="C20">
        <f>+VLOOKUP(A20,$D$3:$E$48,2,FALSE)</f>
        <v/>
      </c>
      <c r="D20" s="1" t="inlineStr">
        <is>
          <t>27AAACZ8867B1Z0</t>
        </is>
      </c>
      <c r="E20" s="1" t="inlineStr">
        <is>
          <t>ZOMATO HYPERPURE PRIVATE LIMITED</t>
        </is>
      </c>
    </row>
    <row r="21" ht="15" customHeight="1">
      <c r="A21" t="inlineStr">
        <is>
          <t>27AHXPG7714R1ZA</t>
        </is>
      </c>
      <c r="B21" t="inlineStr">
        <is>
          <t>ASHOK TULSHIRAM GAIKWAD</t>
        </is>
      </c>
      <c r="C21">
        <f>+VLOOKUP(A21,$D$3:$E$48,2,FALSE)</f>
        <v/>
      </c>
      <c r="D21" s="1" t="inlineStr">
        <is>
          <t>27AHXPG7714R1ZA</t>
        </is>
      </c>
      <c r="E21" s="1" t="inlineStr">
        <is>
          <t>YASH ENTERPRISES</t>
        </is>
      </c>
    </row>
    <row r="22" ht="15" customHeight="1">
      <c r="A22" t="inlineStr">
        <is>
          <t>27AHXPG7714R1ZA</t>
        </is>
      </c>
      <c r="B22" t="inlineStr">
        <is>
          <t>ASHOK TULSHIRAM GAIKWAD</t>
        </is>
      </c>
      <c r="C22">
        <f>+VLOOKUP(A22,$D$3:$E$48,2,FALSE)</f>
        <v/>
      </c>
      <c r="D22" s="1" t="inlineStr">
        <is>
          <t>27AAPFK9678R1ZU</t>
        </is>
      </c>
      <c r="E22" s="1" t="inlineStr">
        <is>
          <t>KITCHEN TECH</t>
        </is>
      </c>
    </row>
    <row r="23" ht="15" customHeight="1">
      <c r="A23" t="inlineStr">
        <is>
          <t>27AAACH2702H3ZY</t>
        </is>
      </c>
      <c r="B23" t="inlineStr">
        <is>
          <t>HDFC BANK LIMITED</t>
        </is>
      </c>
      <c r="C23">
        <f>+VLOOKUP(A23,$D$3:$E$48,2,FALSE)</f>
        <v/>
      </c>
      <c r="D23" s="1" t="inlineStr">
        <is>
          <t>27AHXPG7714R1ZA</t>
        </is>
      </c>
      <c r="E23" s="1" t="inlineStr">
        <is>
          <t>YASH ENTERPRISES</t>
        </is>
      </c>
    </row>
    <row r="24" ht="15" customHeight="1">
      <c r="A24" t="inlineStr">
        <is>
          <t>27AAACH2702H3ZY</t>
        </is>
      </c>
      <c r="B24" t="inlineStr">
        <is>
          <t>HDFC BANK LIMITED</t>
        </is>
      </c>
      <c r="C24">
        <f>+VLOOKUP(A24,$D$3:$E$48,2,FALSE)</f>
        <v/>
      </c>
      <c r="D24" s="1" t="inlineStr">
        <is>
          <t>27AVTPM1741J1Z4</t>
        </is>
      </c>
      <c r="E24" s="1" t="inlineStr">
        <is>
          <t>JIHAN ENTERPRISES</t>
        </is>
      </c>
    </row>
    <row r="25" ht="15" customHeight="1">
      <c r="A25" t="inlineStr">
        <is>
          <t>27ADWFS3449L1Z4</t>
        </is>
      </c>
      <c r="B25" t="inlineStr">
        <is>
          <t>SHREEJI ENTERPRISE</t>
        </is>
      </c>
      <c r="C25">
        <f>+VLOOKUP(A25,$D$3:$E$48,2,FALSE)</f>
        <v/>
      </c>
      <c r="D25" s="1" t="inlineStr">
        <is>
          <t>27AHXPG7714R1ZA</t>
        </is>
      </c>
      <c r="E25" s="1" t="inlineStr">
        <is>
          <t>YASH ENTERPRISES</t>
        </is>
      </c>
    </row>
    <row r="26" ht="15" customHeight="1">
      <c r="A26" t="inlineStr">
        <is>
          <t>27DIZPK3245R1Z4</t>
        </is>
      </c>
      <c r="B26" t="inlineStr">
        <is>
          <t>AFZAL MOHD IQBAL KHIMANI</t>
        </is>
      </c>
      <c r="C26">
        <f>+VLOOKUP(A26,$D$3:$E$48,2,FALSE)</f>
        <v/>
      </c>
      <c r="D26" s="1" t="inlineStr">
        <is>
          <t>27AAACZ8867B1Z0</t>
        </is>
      </c>
      <c r="E26" s="1" t="inlineStr">
        <is>
          <t>ZOMATO HYPERPURE PRIVATE LIMITED</t>
        </is>
      </c>
    </row>
    <row r="27" ht="15" customHeight="1">
      <c r="A27" t="inlineStr">
        <is>
          <t>27DIZPK3245R1Z4</t>
        </is>
      </c>
      <c r="B27" t="inlineStr">
        <is>
          <t>AFZAL MOHD IQBAL KHIMANI</t>
        </is>
      </c>
      <c r="C27">
        <f>+VLOOKUP(A27,$D$3:$E$48,2,FALSE)</f>
        <v/>
      </c>
      <c r="D27" s="1" t="inlineStr">
        <is>
          <t>27AAACZ8867B1Z0</t>
        </is>
      </c>
      <c r="E27" s="1" t="inlineStr">
        <is>
          <t>ZOMATO HYPERPURE PRIVATE LIMITED</t>
        </is>
      </c>
    </row>
    <row r="28" ht="15" customHeight="1">
      <c r="A28" t="inlineStr">
        <is>
          <t>27DIZPK3245R1Z4</t>
        </is>
      </c>
      <c r="B28" t="inlineStr">
        <is>
          <t>AFZAL MOHD IQBAL KHIMANI</t>
        </is>
      </c>
      <c r="C28">
        <f>+VLOOKUP(A28,$D$3:$E$48,2,FALSE)</f>
        <v/>
      </c>
      <c r="D28" s="1" t="inlineStr">
        <is>
          <t>27AAACH2702H3ZY</t>
        </is>
      </c>
      <c r="E28" s="1" t="inlineStr">
        <is>
          <t>HDFC BANK LIMITED</t>
        </is>
      </c>
    </row>
    <row r="29" ht="15" customHeight="1">
      <c r="A29" t="inlineStr">
        <is>
          <t>27AAPFK9678R1ZU</t>
        </is>
      </c>
      <c r="B29" t="inlineStr">
        <is>
          <t>KITCHEN TECH</t>
        </is>
      </c>
      <c r="C29">
        <f>+VLOOKUP(A29,$D$3:$E$48,2,FALSE)</f>
        <v/>
      </c>
      <c r="D29" s="1" t="inlineStr">
        <is>
          <t>27AAACH2702H3ZY</t>
        </is>
      </c>
      <c r="E29" s="1" t="inlineStr">
        <is>
          <t>HDFC BANK LIMITED</t>
        </is>
      </c>
    </row>
    <row r="30" ht="15" customHeight="1">
      <c r="A30" t="inlineStr">
        <is>
          <t>27AVTPM1741J1Z4</t>
        </is>
      </c>
      <c r="B30" t="inlineStr">
        <is>
          <t>KUMUD VIKAS MEHRA</t>
        </is>
      </c>
      <c r="C30">
        <f>+VLOOKUP(A30,$D$3:$E$48,2,FALSE)</f>
        <v/>
      </c>
      <c r="D30" s="1" t="inlineStr">
        <is>
          <t>27AHXPG7714R1ZA</t>
        </is>
      </c>
      <c r="E30" s="1" t="inlineStr">
        <is>
          <t>YASH ENTERPRISES</t>
        </is>
      </c>
    </row>
    <row r="31">
      <c r="A31" t="inlineStr">
        <is>
          <t>27AVTPM1741J1Z4</t>
        </is>
      </c>
      <c r="B31" t="inlineStr">
        <is>
          <t>KUMUD VIKAS MEHRA</t>
        </is>
      </c>
      <c r="C31">
        <f>+VLOOKUP(A31,$D$3:$E$48,2,FALSE)</f>
        <v/>
      </c>
    </row>
    <row r="32">
      <c r="A32" t="inlineStr">
        <is>
          <t>27AVTPM1741J1Z4</t>
        </is>
      </c>
      <c r="B32" t="inlineStr">
        <is>
          <t>KUMUD VIKAS MEHRA</t>
        </is>
      </c>
      <c r="C32">
        <f>+VLOOKUP(A32,$D$3:$E$48,2,FALSE)</f>
        <v/>
      </c>
    </row>
    <row r="33">
      <c r="A33" t="inlineStr">
        <is>
          <t>27AVTPM1741J1Z4</t>
        </is>
      </c>
      <c r="B33" t="inlineStr">
        <is>
          <t>KUMUD VIKAS MEHRA</t>
        </is>
      </c>
      <c r="C33">
        <f>+VLOOKUP(A33,$D$3:$E$48,2,FALSE)</f>
        <v/>
      </c>
    </row>
    <row r="34">
      <c r="A34" t="inlineStr">
        <is>
          <t>27AVTPM1741J1Z4</t>
        </is>
      </c>
      <c r="B34" t="inlineStr">
        <is>
          <t>KUMUD VIKAS MEHRA</t>
        </is>
      </c>
      <c r="C34">
        <f>+VLOOKUP(A34,$D$3:$E$48,2,FALSE)</f>
        <v/>
      </c>
    </row>
    <row r="35">
      <c r="A35" t="inlineStr">
        <is>
          <t>27AVTPM1741J1Z4</t>
        </is>
      </c>
      <c r="B35" t="inlineStr">
        <is>
          <t>KUMUD VIKAS MEHRA</t>
        </is>
      </c>
      <c r="C35">
        <f>+VLOOKUP(A35,$D$3:$E$48,2,FALSE)</f>
        <v/>
      </c>
    </row>
    <row r="36">
      <c r="A36" t="inlineStr">
        <is>
          <t>27AVTPM1741J1Z4</t>
        </is>
      </c>
      <c r="B36" t="inlineStr">
        <is>
          <t>KUMUD VIKAS MEHRA</t>
        </is>
      </c>
      <c r="C36">
        <f>+VLOOKUP(A36,$D$3:$E$48,2,FALSE)</f>
        <v/>
      </c>
    </row>
    <row r="37">
      <c r="A37" t="inlineStr">
        <is>
          <t>27AVTPM1741J1Z4</t>
        </is>
      </c>
      <c r="B37" t="inlineStr">
        <is>
          <t>KUMUD VIKAS MEHRA</t>
        </is>
      </c>
      <c r="C37">
        <f>+VLOOKUP(A37,$D$3:$E$48,2,FALSE)</f>
        <v/>
      </c>
    </row>
    <row r="38">
      <c r="A38" t="inlineStr">
        <is>
          <t>27AVTPM1741J1Z4</t>
        </is>
      </c>
      <c r="B38" t="inlineStr">
        <is>
          <t>KUMUD VIKAS MEHRA</t>
        </is>
      </c>
      <c r="C38">
        <f>+VLOOKUP(A38,$D$3:$E$48,2,FALSE)</f>
        <v/>
      </c>
    </row>
    <row r="39">
      <c r="A39" t="inlineStr">
        <is>
          <t>27AVTPM1741J1Z4</t>
        </is>
      </c>
      <c r="B39" t="inlineStr">
        <is>
          <t>KUMUD VIKAS MEHRA</t>
        </is>
      </c>
      <c r="C39">
        <f>+VLOOKUP(A39,$D$3:$E$48,2,FALSE)</f>
        <v/>
      </c>
    </row>
    <row r="40">
      <c r="A40" t="inlineStr">
        <is>
          <t>27AVTPM1741J1Z4</t>
        </is>
      </c>
      <c r="B40" t="inlineStr">
        <is>
          <t>KUMUD VIKAS MEHRA</t>
        </is>
      </c>
      <c r="C40">
        <f>+VLOOKUP(A40,$D$3:$E$48,2,FALSE)</f>
        <v/>
      </c>
    </row>
    <row r="41">
      <c r="A41" t="inlineStr">
        <is>
          <t>27AVTPM1741J1Z4</t>
        </is>
      </c>
      <c r="B41" t="inlineStr">
        <is>
          <t>KUMUD VIKAS MEHRA</t>
        </is>
      </c>
      <c r="C41">
        <f>+VLOOKUP(A41,$D$3:$E$48,2,FALSE)</f>
        <v/>
      </c>
    </row>
    <row r="42">
      <c r="A42" t="inlineStr">
        <is>
          <t>27AVTPM1741J1Z4</t>
        </is>
      </c>
      <c r="B42" t="inlineStr">
        <is>
          <t>KUMUD VIKAS MEHRA</t>
        </is>
      </c>
      <c r="C42">
        <f>+VLOOKUP(A42,$D$3:$E$48,2,FALSE)</f>
        <v/>
      </c>
    </row>
    <row r="43">
      <c r="A43" t="inlineStr">
        <is>
          <t>27AVTPM1741J1Z4</t>
        </is>
      </c>
      <c r="B43" t="inlineStr">
        <is>
          <t>KUMUD VIKAS MEHRA</t>
        </is>
      </c>
      <c r="C43">
        <f>+VLOOKUP(A43,$D$3:$E$48,2,FALSE)</f>
        <v/>
      </c>
    </row>
    <row r="44">
      <c r="A44" t="inlineStr">
        <is>
          <t>27AVTPM1741J1Z4</t>
        </is>
      </c>
      <c r="B44" t="inlineStr">
        <is>
          <t>KUMUD VIKAS MEHRA</t>
        </is>
      </c>
      <c r="C44">
        <f>+VLOOKUP(A44,$D$3:$E$48,2,FALSE)</f>
        <v/>
      </c>
    </row>
    <row r="45">
      <c r="A45" t="inlineStr">
        <is>
          <t>27AVTPM1741J1Z4</t>
        </is>
      </c>
      <c r="B45" t="inlineStr">
        <is>
          <t>KUMUD VIKAS MEHRA</t>
        </is>
      </c>
      <c r="C45">
        <f>+VLOOKUP(A45,$D$3:$E$48,2,FALSE)</f>
        <v/>
      </c>
    </row>
    <row r="46">
      <c r="A46" t="inlineStr">
        <is>
          <t>27AAACZ8867B1Z0</t>
        </is>
      </c>
      <c r="B46" t="inlineStr">
        <is>
          <t>ZOMATO HYPERPURE PRIVATE LIMITED</t>
        </is>
      </c>
      <c r="C46">
        <f>+VLOOKUP(A46,$D$3:$E$48,2,FALSE)</f>
        <v/>
      </c>
    </row>
    <row r="47">
      <c r="A47" t="inlineStr">
        <is>
          <t>27AAACZ8867B1Z0</t>
        </is>
      </c>
      <c r="B47" t="inlineStr">
        <is>
          <t>ZOMATO HYPERPURE PRIVATE LIMITED</t>
        </is>
      </c>
      <c r="C47">
        <f>+VLOOKUP(A47,$D$3:$E$48,2,FALSE)</f>
        <v/>
      </c>
    </row>
    <row r="48">
      <c r="A48" t="inlineStr">
        <is>
          <t>27AAACZ8867B1Z0</t>
        </is>
      </c>
      <c r="B48" t="inlineStr">
        <is>
          <t>ZOMATO HYPERPURE PRIVATE LIMITED</t>
        </is>
      </c>
      <c r="C48">
        <f>+VLOOKUP(A48,$D$3:$E$48,2,FALSE)</f>
        <v/>
      </c>
    </row>
    <row r="49">
      <c r="A49" t="inlineStr">
        <is>
          <t>27AAACZ8867B1Z0</t>
        </is>
      </c>
      <c r="B49" t="inlineStr">
        <is>
          <t>ZOMATO HYPERPURE PRIVATE LIMITED</t>
        </is>
      </c>
      <c r="C49">
        <f>+VLOOKUP(A49,$D$3:$E$48,2,FALSE)</f>
        <v/>
      </c>
    </row>
    <row r="50">
      <c r="A50" t="inlineStr">
        <is>
          <t>27AAACZ8867B1Z0</t>
        </is>
      </c>
      <c r="B50" t="inlineStr">
        <is>
          <t>ZOMATO HYPERPURE PRIVATE LIMITED</t>
        </is>
      </c>
      <c r="C50">
        <f>+VLOOKUP(A50,$D$3:$E$48,2,FALSE)</f>
        <v/>
      </c>
    </row>
    <row r="51">
      <c r="A51" t="inlineStr">
        <is>
          <t>27AAACZ8867B1Z0</t>
        </is>
      </c>
      <c r="B51" t="inlineStr">
        <is>
          <t>ZOMATO HYPERPURE PRIVATE LIMITED</t>
        </is>
      </c>
      <c r="C51">
        <f>+VLOOKUP(A51,$D$3:$E$48,2,FALSE)</f>
        <v/>
      </c>
    </row>
    <row r="52">
      <c r="A52" t="inlineStr">
        <is>
          <t>27AAACZ8867B1Z0</t>
        </is>
      </c>
      <c r="B52" t="inlineStr">
        <is>
          <t>ZOMATO HYPERPURE PRIVATE LIMITED</t>
        </is>
      </c>
      <c r="C52">
        <f>+VLOOKUP(A52,$D$3:$E$48,2,FALSE)</f>
        <v/>
      </c>
    </row>
    <row r="53">
      <c r="A53" t="inlineStr">
        <is>
          <t>27AAACZ8867B1Z0</t>
        </is>
      </c>
      <c r="B53" t="inlineStr">
        <is>
          <t>ZOMATO HYPERPURE PRIVATE LIMITED</t>
        </is>
      </c>
      <c r="C53">
        <f>+VLOOKUP(A53,$D$3:$E$48,2,FALSE)</f>
        <v/>
      </c>
    </row>
    <row r="54">
      <c r="A54" t="inlineStr">
        <is>
          <t>27AAACZ8867B1Z0</t>
        </is>
      </c>
      <c r="B54" t="inlineStr">
        <is>
          <t>ZOMATO HYPERPURE PRIVATE LIMITED</t>
        </is>
      </c>
      <c r="C54">
        <f>+VLOOKUP(A54,$D$3:$E$48,2,FALSE)</f>
        <v/>
      </c>
    </row>
    <row r="55">
      <c r="A55" t="inlineStr">
        <is>
          <t>27AAACZ8867B1Z0</t>
        </is>
      </c>
      <c r="B55" t="inlineStr">
        <is>
          <t>ZOMATO HYPERPURE PRIVATE LIMITED</t>
        </is>
      </c>
      <c r="C55">
        <f>+VLOOKUP(A55,$D$3:$E$48,2,FALSE)</f>
        <v/>
      </c>
    </row>
    <row r="56">
      <c r="A56" t="inlineStr">
        <is>
          <t>27AAACZ8867B1Z0</t>
        </is>
      </c>
      <c r="B56" t="inlineStr">
        <is>
          <t>ZOMATO HYPERPURE PRIVATE LIMITED</t>
        </is>
      </c>
      <c r="C56">
        <f>+VLOOKUP(A56,$D$3:$E$48,2,FALSE)</f>
        <v/>
      </c>
    </row>
    <row r="57">
      <c r="A57" t="inlineStr">
        <is>
          <t>27AANFS6073J1ZL</t>
        </is>
      </c>
      <c r="B57" t="inlineStr">
        <is>
          <t>SAURASHTRA OIL DEPOT</t>
        </is>
      </c>
      <c r="C57">
        <f>+VLOOKUP(A57,$D$3:$E$48,2,FALSE)</f>
        <v/>
      </c>
    </row>
  </sheetData>
  <autoFilter ref="A3:E3"/>
  <mergeCells count="2">
    <mergeCell ref="A2:B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tabSelected="1" workbookViewId="0">
      <selection activeCell="C1" sqref="C1"/>
    </sheetView>
  </sheetViews>
  <sheetFormatPr baseColWidth="8" defaultRowHeight="14.25"/>
  <cols>
    <col width="17.625" bestFit="1" customWidth="1" min="1" max="1"/>
    <col width="18.25" bestFit="1" customWidth="1" min="2" max="2"/>
    <col width="10.375" bestFit="1" customWidth="1" min="3" max="3"/>
    <col width="14.75" bestFit="1" customWidth="1" min="4" max="4"/>
    <col width="26.375" bestFit="1" customWidth="1" min="5" max="5"/>
    <col width="17.875" bestFit="1" customWidth="1" min="6" max="6"/>
    <col width="11.875" bestFit="1" customWidth="1" min="7" max="7"/>
    <col width="18.875" bestFit="1" customWidth="1" style="8" min="8" max="8"/>
    <col width="20.875" bestFit="1" customWidth="1" style="8" min="9" max="9"/>
    <col width="19.25" bestFit="1" customWidth="1" style="8" min="10" max="10"/>
    <col width="19" bestFit="1" customWidth="1" style="8" min="11" max="11"/>
    <col width="21.875" bestFit="1" customWidth="1" style="8" min="12" max="12"/>
    <col width="17.75" bestFit="1" customWidth="1" style="8" min="13" max="13"/>
    <col width="17.375" bestFit="1" customWidth="1" style="8" min="14" max="14"/>
    <col width="21.875" bestFit="1" customWidth="1" style="8" min="15" max="15"/>
    <col width="17.75" bestFit="1" customWidth="1" style="8" min="16" max="16"/>
    <col width="17.375" bestFit="1" customWidth="1" style="8" min="17" max="17"/>
    <col width="22.25" bestFit="1" customWidth="1" style="8" min="18" max="18"/>
    <col width="18.75" bestFit="1" customWidth="1" style="8" min="19" max="19"/>
    <col width="18.375" bestFit="1" customWidth="1" style="8" min="20" max="20"/>
    <col width="13.75" bestFit="1" customWidth="1" style="8" min="21" max="21"/>
  </cols>
  <sheetData>
    <row r="1" ht="15" customHeight="1">
      <c r="A1" s="3" t="inlineStr">
        <is>
          <t>GST.NO.</t>
        </is>
      </c>
      <c r="B1" s="3" t="inlineStr">
        <is>
          <t>VOUCHER NO</t>
        </is>
      </c>
      <c r="C1" s="3" t="inlineStr">
        <is>
          <t>DATE</t>
        </is>
      </c>
      <c r="D1" s="3" t="inlineStr">
        <is>
          <t>PARTY NAME</t>
        </is>
      </c>
      <c r="E1" s="3" t="inlineStr">
        <is>
          <t>NARRATION</t>
        </is>
      </c>
      <c r="F1" s="3" t="inlineStr">
        <is>
          <t xml:space="preserve">VOUCHER TYPE </t>
        </is>
      </c>
      <c r="G1" s="3" t="inlineStr">
        <is>
          <t>GST RATE</t>
        </is>
      </c>
      <c r="H1" s="3" t="inlineStr">
        <is>
          <t>Taxfree Purchase</t>
        </is>
      </c>
      <c r="I1" s="3" t="inlineStr">
        <is>
          <t>Purchase GST @ 5%</t>
        </is>
      </c>
      <c r="J1" s="3" t="inlineStr">
        <is>
          <t>Input Cgst @ 2.5%</t>
        </is>
      </c>
      <c r="K1" s="3" t="inlineStr">
        <is>
          <t>Input Sgst @ 2.5%</t>
        </is>
      </c>
      <c r="L1" s="3" t="inlineStr">
        <is>
          <t>Purchase GST @ 12%</t>
        </is>
      </c>
      <c r="M1" s="3" t="inlineStr">
        <is>
          <t>Input Cgst @ 6%</t>
        </is>
      </c>
      <c r="N1" s="3" t="inlineStr">
        <is>
          <t>Input Sgst @ 6%</t>
        </is>
      </c>
      <c r="O1" s="3" t="inlineStr">
        <is>
          <t>Purchase GST @ 18%</t>
        </is>
      </c>
      <c r="P1" s="3" t="inlineStr">
        <is>
          <t>Input Cgst @ 9%</t>
        </is>
      </c>
      <c r="Q1" s="3" t="inlineStr">
        <is>
          <t>Input Sgst @ 9%</t>
        </is>
      </c>
      <c r="R1" s="3" t="inlineStr">
        <is>
          <t>Purchase GST @  28%</t>
        </is>
      </c>
      <c r="S1" s="3" t="inlineStr">
        <is>
          <t>Input Cgst @ 14%</t>
        </is>
      </c>
      <c r="T1" s="3" t="inlineStr">
        <is>
          <t>Input Sgst @ 14%</t>
        </is>
      </c>
      <c r="U1" s="3" t="inlineStr">
        <is>
          <t>CESS @28%</t>
        </is>
      </c>
      <c r="CC1" t="inlineStr">
        <is>
          <t>Error</t>
        </is>
      </c>
    </row>
    <row r="2">
      <c r="A2" s="9" t="inlineStr">
        <is>
          <t>GSTIN_0</t>
        </is>
      </c>
      <c r="B2" s="9" t="inlineStr">
        <is>
          <t>INV_0</t>
        </is>
      </c>
      <c r="C2" s="9" t="inlineStr">
        <is>
          <t>01-05-2025</t>
        </is>
      </c>
      <c r="D2" s="9" t="inlineStr">
        <is>
          <t>Test Party</t>
        </is>
      </c>
      <c r="E2" s="9" t="inlineStr">
        <is>
          <t>NARRATION</t>
        </is>
      </c>
      <c r="F2" s="9" t="inlineStr">
        <is>
          <t>Purchase New</t>
        </is>
      </c>
      <c r="G2" s="9" t="n">
        <v>18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100</v>
      </c>
      <c r="P2" s="10" t="n">
        <v>9</v>
      </c>
      <c r="Q2" s="10" t="n">
        <v>9</v>
      </c>
      <c r="R2" s="10" t="n">
        <v>0</v>
      </c>
      <c r="S2" s="10" t="n">
        <v>0</v>
      </c>
      <c r="T2" s="10" t="n">
        <v>0</v>
      </c>
      <c r="U2" s="10" t="n">
        <v>0</v>
      </c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inlineStr">
        <is>
          <t>Status Done</t>
        </is>
      </c>
    </row>
    <row r="3">
      <c r="A3" s="9" t="inlineStr">
        <is>
          <t>GSTIN_1</t>
        </is>
      </c>
      <c r="B3" s="9" t="inlineStr">
        <is>
          <t>INV_1</t>
        </is>
      </c>
      <c r="C3" s="9" t="inlineStr">
        <is>
          <t>01-05-2025</t>
        </is>
      </c>
      <c r="D3" s="9" t="inlineStr">
        <is>
          <t>Test Party</t>
        </is>
      </c>
      <c r="E3" s="9" t="inlineStr">
        <is>
          <t>NARRATION</t>
        </is>
      </c>
      <c r="F3" s="9" t="inlineStr">
        <is>
          <t>Purchase New</t>
        </is>
      </c>
      <c r="G3" s="9" t="n">
        <v>18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100</v>
      </c>
      <c r="P3" s="10" t="n">
        <v>9</v>
      </c>
      <c r="Q3" s="10" t="n">
        <v>9</v>
      </c>
      <c r="R3" s="10" t="n">
        <v>0</v>
      </c>
      <c r="S3" s="10" t="n">
        <v>0</v>
      </c>
      <c r="T3" s="10" t="n">
        <v>0</v>
      </c>
      <c r="U3" s="10" t="n">
        <v>0</v>
      </c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inlineStr">
        <is>
          <t>Status Done</t>
        </is>
      </c>
    </row>
    <row r="4">
      <c r="A4" s="9" t="inlineStr">
        <is>
          <t>GSTIN_2</t>
        </is>
      </c>
      <c r="B4" s="9" t="inlineStr">
        <is>
          <t>INV_2</t>
        </is>
      </c>
      <c r="C4" s="9" t="inlineStr">
        <is>
          <t>01-05-2025</t>
        </is>
      </c>
      <c r="D4" s="9" t="inlineStr">
        <is>
          <t>Test Party</t>
        </is>
      </c>
      <c r="E4" s="9" t="inlineStr">
        <is>
          <t>NARRATION</t>
        </is>
      </c>
      <c r="F4" s="9" t="inlineStr">
        <is>
          <t>Purchase New</t>
        </is>
      </c>
      <c r="G4" s="9" t="n">
        <v>18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100</v>
      </c>
      <c r="P4" s="10" t="n">
        <v>9</v>
      </c>
      <c r="Q4" s="10" t="n">
        <v>9</v>
      </c>
      <c r="R4" s="10" t="n">
        <v>0</v>
      </c>
      <c r="S4" s="10" t="n">
        <v>0</v>
      </c>
      <c r="T4" s="10" t="n">
        <v>0</v>
      </c>
      <c r="U4" s="10" t="n">
        <v>0</v>
      </c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inlineStr">
        <is>
          <t>Status Done</t>
        </is>
      </c>
    </row>
    <row r="5">
      <c r="A5" s="9" t="inlineStr">
        <is>
          <t>GSTIN_3</t>
        </is>
      </c>
      <c r="B5" s="9" t="inlineStr">
        <is>
          <t>INV_3</t>
        </is>
      </c>
      <c r="C5" s="9" t="inlineStr">
        <is>
          <t>01-05-2025</t>
        </is>
      </c>
      <c r="D5" s="9" t="inlineStr">
        <is>
          <t>Test Party</t>
        </is>
      </c>
      <c r="E5" s="9" t="inlineStr">
        <is>
          <t>NARRATION</t>
        </is>
      </c>
      <c r="F5" s="9" t="inlineStr">
        <is>
          <t>Purchase New</t>
        </is>
      </c>
      <c r="G5" s="9" t="n">
        <v>18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100</v>
      </c>
      <c r="P5" s="10" t="n">
        <v>9</v>
      </c>
      <c r="Q5" s="10" t="n">
        <v>9</v>
      </c>
      <c r="R5" s="10" t="n">
        <v>0</v>
      </c>
      <c r="S5" s="10" t="n">
        <v>0</v>
      </c>
      <c r="T5" s="10" t="n">
        <v>0</v>
      </c>
      <c r="U5" s="10" t="n">
        <v>0</v>
      </c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inlineStr">
        <is>
          <t>Status Done</t>
        </is>
      </c>
    </row>
    <row r="6">
      <c r="A6" s="9" t="inlineStr">
        <is>
          <t>GSTIN_4</t>
        </is>
      </c>
      <c r="B6" s="9" t="inlineStr">
        <is>
          <t>INV_4</t>
        </is>
      </c>
      <c r="C6" s="9" t="inlineStr">
        <is>
          <t>01-05-2025</t>
        </is>
      </c>
      <c r="D6" s="9" t="inlineStr">
        <is>
          <t>Test Party</t>
        </is>
      </c>
      <c r="E6" s="9" t="inlineStr">
        <is>
          <t>NARRATION</t>
        </is>
      </c>
      <c r="F6" s="9" t="inlineStr">
        <is>
          <t>Purchase New</t>
        </is>
      </c>
      <c r="G6" s="9" t="n">
        <v>18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100</v>
      </c>
      <c r="P6" s="10" t="n">
        <v>9</v>
      </c>
      <c r="Q6" s="10" t="n">
        <v>9</v>
      </c>
      <c r="R6" s="10" t="n">
        <v>0</v>
      </c>
      <c r="S6" s="10" t="n">
        <v>0</v>
      </c>
      <c r="T6" s="10" t="n">
        <v>0</v>
      </c>
      <c r="U6" s="10" t="n">
        <v>0</v>
      </c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inlineStr">
        <is>
          <t>Status Done</t>
        </is>
      </c>
    </row>
  </sheetData>
  <autoFilter ref="A1:U53">
    <sortState ref="A2:U53">
      <sortCondition ref="C1:C5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5" customWidth="1" min="4" max="4"/>
    <col width="12" customWidth="1" min="5" max="5"/>
    <col width="56" customWidth="1" min="6" max="6"/>
  </cols>
  <sheetData>
    <row r="1">
      <c r="A1" s="12" t="inlineStr">
        <is>
          <t>Row Number</t>
        </is>
      </c>
      <c r="B1" s="12" t="inlineStr">
        <is>
          <t>Invoice Number</t>
        </is>
      </c>
      <c r="C1" s="12" t="inlineStr">
        <is>
          <t>GSTIN</t>
        </is>
      </c>
      <c r="D1" s="12" t="inlineStr">
        <is>
          <t>Issue</t>
        </is>
      </c>
      <c r="E1" s="12" t="inlineStr">
        <is>
          <t>Severity</t>
        </is>
      </c>
      <c r="F1" s="12" t="inlineStr">
        <is>
          <t>Suggested Fix</t>
        </is>
      </c>
    </row>
    <row r="2">
      <c r="A2" s="13" t="n">
        <v>15</v>
      </c>
      <c r="B2" s="13" t="inlineStr">
        <is>
          <t>INV_ERR_1</t>
        </is>
      </c>
      <c r="C2" s="13" t="inlineStr">
        <is>
          <t>27ERR</t>
        </is>
      </c>
      <c r="D2" s="13" t="inlineStr">
        <is>
          <t>Invalid Rate</t>
        </is>
      </c>
      <c r="E2" s="14" t="inlineStr">
        <is>
          <t>Critical</t>
        </is>
      </c>
      <c r="F2" s="13" t="inlineStr">
        <is>
          <t>Review the row manually against the source GSTR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RMHAC6</dc:creator>
  <dcterms:created xsi:type="dcterms:W3CDTF">2026-02-24T11:34:50Z</dcterms:created>
  <dcterms:modified xsi:type="dcterms:W3CDTF">2026-07-13T12:23:15Z</dcterms:modified>
  <cp:lastModifiedBy>RMHAC12</cp:lastModifiedBy>
</cp:coreProperties>
</file>