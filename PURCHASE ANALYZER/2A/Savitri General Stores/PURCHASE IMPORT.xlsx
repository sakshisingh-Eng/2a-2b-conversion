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CLIENT DATA SCAN\Vasai Client\SAVITRI GENERAL STORES FIRM\GST\2026-2027\2. MAY 26\PURHASE IMPORT\"/>
    </mc:Choice>
  </mc:AlternateContent>
  <xr:revisionPtr revIDLastSave="0" documentId="13_ncr:1_{7C8B4BF5-2880-4FA1-94C5-D80BAD35EF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</sheets>
  <definedNames>
    <definedName name="_xlnm._FilterDatabase" localSheetId="0" hidden="1">Sheet1!$A$1:$CC$1</definedName>
    <definedName name="_xlnm._FilterDatabase" localSheetId="2" hidden="1">Sheet2!$A$2:$E$106</definedName>
    <definedName name="_xlnm._FilterDatabase" localSheetId="1" hidden="1">Sheet3!$B$1:$AF$105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1" i="3" l="1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B2" i="3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</calcChain>
</file>

<file path=xl/sharedStrings.xml><?xml version="1.0" encoding="utf-8"?>
<sst xmlns="http://schemas.openxmlformats.org/spreadsheetml/2006/main" count="2920" uniqueCount="413">
  <si>
    <t>27ACZPT9824G1ZL</t>
  </si>
  <si>
    <t>PRASANNA ENTERPRISES</t>
  </si>
  <si>
    <t>A260003461</t>
  </si>
  <si>
    <t>06/05/2026</t>
  </si>
  <si>
    <t>Maharashtra</t>
  </si>
  <si>
    <t>A260003993</t>
  </si>
  <si>
    <t>13/05/2026</t>
  </si>
  <si>
    <t>A260004603</t>
  </si>
  <si>
    <t>20/05/2026</t>
  </si>
  <si>
    <t>A260005658</t>
  </si>
  <si>
    <t>27/05/2026</t>
  </si>
  <si>
    <t>27ABEFA2811N1ZG</t>
  </si>
  <si>
    <t>MADHUBAN TRADING COMPANY</t>
  </si>
  <si>
    <t>MSH58128</t>
  </si>
  <si>
    <t>07/05/2026</t>
  </si>
  <si>
    <t>MSH58189</t>
  </si>
  <si>
    <t>MSH65563</t>
  </si>
  <si>
    <t>14/05/2026</t>
  </si>
  <si>
    <t>MSH72729</t>
  </si>
  <si>
    <t>MSH73346</t>
  </si>
  <si>
    <t>MSH73492</t>
  </si>
  <si>
    <t>21/05/2026</t>
  </si>
  <si>
    <t>MSH79534</t>
  </si>
  <si>
    <t>28/05/2026</t>
  </si>
  <si>
    <t>MSH80383</t>
  </si>
  <si>
    <t>29/05/2026</t>
  </si>
  <si>
    <t>27AKKPD8987H1ZJ</t>
  </si>
  <si>
    <t>KALPANA TRADING</t>
  </si>
  <si>
    <t>2627-2149</t>
  </si>
  <si>
    <t>19/05/2026</t>
  </si>
  <si>
    <t>2627-2492</t>
  </si>
  <si>
    <t>26/05/2026</t>
  </si>
  <si>
    <t>27ALOPR0444E1Z1</t>
  </si>
  <si>
    <t>M R ENTERPRISES</t>
  </si>
  <si>
    <t>2627-1099</t>
  </si>
  <si>
    <t>27AABFB2569E1ZO</t>
  </si>
  <si>
    <t>BABULAL JAYANTILAL &amp; CO.</t>
  </si>
  <si>
    <t>BJI1944</t>
  </si>
  <si>
    <t>BJI2331</t>
  </si>
  <si>
    <t>BJI2690</t>
  </si>
  <si>
    <t>BJI3042</t>
  </si>
  <si>
    <t>27BEFPM3597E1Z9</t>
  </si>
  <si>
    <t>OM SAI TRADERS</t>
  </si>
  <si>
    <t>2627-5321</t>
  </si>
  <si>
    <t>18/05/2026</t>
  </si>
  <si>
    <t>2627-6188</t>
  </si>
  <si>
    <t>25/05/2026</t>
  </si>
  <si>
    <t>27AELPM8083J1ZU</t>
  </si>
  <si>
    <t>PRIYA ENTERPRISES</t>
  </si>
  <si>
    <t>0445/26-27</t>
  </si>
  <si>
    <t>12/05/2026</t>
  </si>
  <si>
    <t>0543/26-27</t>
  </si>
  <si>
    <t>27AABFJ0326M1ZG</t>
  </si>
  <si>
    <t>JAYA TRADING CO,</t>
  </si>
  <si>
    <t>1123/26-27</t>
  </si>
  <si>
    <t>686/26-27</t>
  </si>
  <si>
    <t>04/05/2026</t>
  </si>
  <si>
    <t>05/05/2026</t>
  </si>
  <si>
    <t>27AKAPR8548J1ZL</t>
  </si>
  <si>
    <t>VIJAY ENTERPRISES</t>
  </si>
  <si>
    <t>2627-1272</t>
  </si>
  <si>
    <t>30/04/2026</t>
  </si>
  <si>
    <t>2627-155</t>
  </si>
  <si>
    <t>03/04/2026</t>
  </si>
  <si>
    <t>2627-78</t>
  </si>
  <si>
    <t>02/04/2026</t>
  </si>
  <si>
    <t>27AAUFV9563H1Z7</t>
  </si>
  <si>
    <t>VISHWAS TRADELINK</t>
  </si>
  <si>
    <t>739</t>
  </si>
  <si>
    <t>27AADPG4739P1Z9</t>
  </si>
  <si>
    <t>GOGRI MASALA  AND  DRYFRUIT</t>
  </si>
  <si>
    <t>1066</t>
  </si>
  <si>
    <t>1256</t>
  </si>
  <si>
    <t>1432</t>
  </si>
  <si>
    <t>30/05/2026</t>
  </si>
  <si>
    <t>897</t>
  </si>
  <si>
    <t>27ABXPT6951B1Z1</t>
  </si>
  <si>
    <t>SANGLI TRADING CO</t>
  </si>
  <si>
    <t>1708</t>
  </si>
  <si>
    <t>11/05/2026</t>
  </si>
  <si>
    <t>2302</t>
  </si>
  <si>
    <t>27AAHFP1780B1ZF</t>
  </si>
  <si>
    <t>VORA S FOODS &amp; BEVERAGES</t>
  </si>
  <si>
    <t>46</t>
  </si>
  <si>
    <t>76</t>
  </si>
  <si>
    <t>27AAQFB7819J1ZV</t>
  </si>
  <si>
    <t>M/s BAIT AL TAMUR CO</t>
  </si>
  <si>
    <t>26/G/5588</t>
  </si>
  <si>
    <t>27EENPS0084D1ZA</t>
  </si>
  <si>
    <t>Anik Foods &amp; Beverages</t>
  </si>
  <si>
    <t>2627-2568</t>
  </si>
  <si>
    <t>22/05/2026</t>
  </si>
  <si>
    <t>27AASFV4370N1Z9</t>
  </si>
  <si>
    <t>VAGAD INTERNATIONAL</t>
  </si>
  <si>
    <t>CR18458</t>
  </si>
  <si>
    <t>27AALCA3210E1Z5</t>
  </si>
  <si>
    <t>ASHAPURA AGROCOMM PRIVATE LIMITED</t>
  </si>
  <si>
    <t>4624/2026-27</t>
  </si>
  <si>
    <t>27BLFPS7030F1Z2</t>
  </si>
  <si>
    <t>Mohit Traders</t>
  </si>
  <si>
    <t>2627-691</t>
  </si>
  <si>
    <t>2627-838</t>
  </si>
  <si>
    <t>27AARFH1458C1ZC</t>
  </si>
  <si>
    <t>HINDUSTAN SOFT SUGAR FACTORY</t>
  </si>
  <si>
    <t>5033</t>
  </si>
  <si>
    <t>08/05/2026</t>
  </si>
  <si>
    <t>27EHZPS2631M1ZC</t>
  </si>
  <si>
    <t>MAHESHWARI TRADERS</t>
  </si>
  <si>
    <t>2627-176</t>
  </si>
  <si>
    <t>07/04/2026</t>
  </si>
  <si>
    <t>2627-395</t>
  </si>
  <si>
    <t>14/04/2026</t>
  </si>
  <si>
    <t>2627-489</t>
  </si>
  <si>
    <t>22/04/2026</t>
  </si>
  <si>
    <t>2627-704</t>
  </si>
  <si>
    <t>28/04/2026</t>
  </si>
  <si>
    <t>27AAAPA8941L1ZM</t>
  </si>
  <si>
    <t>SAPNA SALES AGENCIES</t>
  </si>
  <si>
    <t>E94A503467</t>
  </si>
  <si>
    <t>E94A504119</t>
  </si>
  <si>
    <t>15/05/2026</t>
  </si>
  <si>
    <t>E94A505494</t>
  </si>
  <si>
    <t>27AAFFV3679K1ZI</t>
  </si>
  <si>
    <t>V ENTERPRISES</t>
  </si>
  <si>
    <t>E12361</t>
  </si>
  <si>
    <t>E14479</t>
  </si>
  <si>
    <t>E16778</t>
  </si>
  <si>
    <t>E19239</t>
  </si>
  <si>
    <t>27AKXPD6728R1Z2</t>
  </si>
  <si>
    <t>NIDHI ENTERPRISES</t>
  </si>
  <si>
    <t>2627-390</t>
  </si>
  <si>
    <t>13/04/2026</t>
  </si>
  <si>
    <t>2627-597</t>
  </si>
  <si>
    <t>18/04/2026</t>
  </si>
  <si>
    <t>27ACVPD0020C1Z7</t>
  </si>
  <si>
    <t>NIRMAL AGENCIES</t>
  </si>
  <si>
    <t>2627-1054</t>
  </si>
  <si>
    <t>2627-1447</t>
  </si>
  <si>
    <t>2627-1605</t>
  </si>
  <si>
    <t>2627-1857</t>
  </si>
  <si>
    <t>27AADCM8598F1ZY</t>
  </si>
  <si>
    <t>MANOJ MULTIFOODS PVT LTD</t>
  </si>
  <si>
    <t>VASG-2627-00668</t>
  </si>
  <si>
    <t>27AABCC7475M1Z5</t>
  </si>
  <si>
    <t>C G MARKETING PVT LTD</t>
  </si>
  <si>
    <t>CGVIR-26-I014109</t>
  </si>
  <si>
    <t>CGVIR-26-I019585</t>
  </si>
  <si>
    <t>27AABFR5429H1Z5</t>
  </si>
  <si>
    <t>RASHMI TRADING CO</t>
  </si>
  <si>
    <t>RTB/01666/26-27</t>
  </si>
  <si>
    <t>27AABFM9820F1ZB</t>
  </si>
  <si>
    <t>MARIA AGENCIES</t>
  </si>
  <si>
    <t>2627-49</t>
  </si>
  <si>
    <t>27BDDPA6860P1Z6</t>
  </si>
  <si>
    <t>Joy Distributor</t>
  </si>
  <si>
    <t>2627-2400</t>
  </si>
  <si>
    <t>2627-3297</t>
  </si>
  <si>
    <t>2627-1191</t>
  </si>
  <si>
    <t>2627-2046</t>
  </si>
  <si>
    <t>20/04/2026</t>
  </si>
  <si>
    <t>27AAAFD2565K1ZE</t>
  </si>
  <si>
    <t>DEEPAK KUMAR &amp; CO</t>
  </si>
  <si>
    <t>5915</t>
  </si>
  <si>
    <t>27AABFR9296G2ZP</t>
  </si>
  <si>
    <t>SHAHRATILAL SOMCHAN &amp; CO</t>
  </si>
  <si>
    <t>RSB/01075/26-27</t>
  </si>
  <si>
    <t>02/05/2026</t>
  </si>
  <si>
    <t>RSB/01192/26-27</t>
  </si>
  <si>
    <t>RSB/01670/26-27</t>
  </si>
  <si>
    <t>RSB/01789/26-27</t>
  </si>
  <si>
    <t>2526-13303</t>
  </si>
  <si>
    <t>12/03/2026</t>
  </si>
  <si>
    <t>27ABMPG3404D1Z3</t>
  </si>
  <si>
    <t>SWASTIK FOOD PRODUCTS</t>
  </si>
  <si>
    <t>1083</t>
  </si>
  <si>
    <t>1399</t>
  </si>
  <si>
    <t>1682</t>
  </si>
  <si>
    <t>27ARKPK9611Q2ZZ</t>
  </si>
  <si>
    <t>M5 VENTURES</t>
  </si>
  <si>
    <t>HLTIN438329</t>
  </si>
  <si>
    <t>HLTIN443905</t>
  </si>
  <si>
    <t>MLB144372603109</t>
  </si>
  <si>
    <t>MLB144372603672</t>
  </si>
  <si>
    <t>MLB144372605083</t>
  </si>
  <si>
    <t>27AAZFP4607K1ZI</t>
  </si>
  <si>
    <t>PANNA TRADING CO</t>
  </si>
  <si>
    <t>PTC/00491/26-27</t>
  </si>
  <si>
    <t>PTC/00536/26-27</t>
  </si>
  <si>
    <t>PTC/00783/26-27</t>
  </si>
  <si>
    <t>27ARFPB7084B1Z2</t>
  </si>
  <si>
    <t>SHREE GURUKRIPA TRADING</t>
  </si>
  <si>
    <t>2627-586</t>
  </si>
  <si>
    <t>2627-705</t>
  </si>
  <si>
    <t>2627-828</t>
  </si>
  <si>
    <t>GSTIN</t>
  </si>
  <si>
    <t>PARTY NAME</t>
  </si>
  <si>
    <t>INVOICE NO.</t>
  </si>
  <si>
    <t>DATE</t>
  </si>
  <si>
    <t>VOUCHER TYPE</t>
  </si>
  <si>
    <t>Narration</t>
  </si>
  <si>
    <t>RATE</t>
  </si>
  <si>
    <t>TAXABLE AMOUNT</t>
  </si>
  <si>
    <t>IGST</t>
  </si>
  <si>
    <t>CGST</t>
  </si>
  <si>
    <t>SGST</t>
  </si>
  <si>
    <t>PURCHASE NEW</t>
  </si>
  <si>
    <t>BEING PURCHASE RECORDED AS PER 2B</t>
  </si>
  <si>
    <t>JAYA TRADING COMPANY</t>
  </si>
  <si>
    <t>R</t>
  </si>
  <si>
    <t>26-05-2026</t>
  </si>
  <si>
    <t>N</t>
  </si>
  <si>
    <t>Y</t>
  </si>
  <si>
    <t>09-Jun-26</t>
  </si>
  <si>
    <t>May-26</t>
  </si>
  <si>
    <t>04-05-2026</t>
  </si>
  <si>
    <t>05-05-2026</t>
  </si>
  <si>
    <t>05-Jun-26</t>
  </si>
  <si>
    <t>07-05-2026</t>
  </si>
  <si>
    <t>25-05-2026</t>
  </si>
  <si>
    <t>27ANOPD9430G1ZV</t>
  </si>
  <si>
    <t>SINDRELLA CLARENCE DSOUZA</t>
  </si>
  <si>
    <t>2627-287</t>
  </si>
  <si>
    <t>23-05-2026</t>
  </si>
  <si>
    <t>12-05-2026</t>
  </si>
  <si>
    <t>19-05-2026</t>
  </si>
  <si>
    <t>JATIN JETHALAL GOSAR</t>
  </si>
  <si>
    <t>06-05-2026</t>
  </si>
  <si>
    <t>10-Jun-26</t>
  </si>
  <si>
    <t>18-05-2026</t>
  </si>
  <si>
    <t>28-05-2026</t>
  </si>
  <si>
    <t>DHARMESH PURSHOTTAM THAKKER</t>
  </si>
  <si>
    <t>11-05-2026</t>
  </si>
  <si>
    <t>11-Jun-26</t>
  </si>
  <si>
    <t>VORA S FOOD AND BEVERAGES</t>
  </si>
  <si>
    <t>MUTHAMIL  MURUGAN</t>
  </si>
  <si>
    <t>ARUN PADAMSHI GOGRI</t>
  </si>
  <si>
    <t>08-Jun-26</t>
  </si>
  <si>
    <t>RATILAL SOMCHAND &amp; CO</t>
  </si>
  <si>
    <t>02-05-2026</t>
  </si>
  <si>
    <t>21-05-2026</t>
  </si>
  <si>
    <t>JOEL LOUIS ALMEIDA</t>
  </si>
  <si>
    <t>06-Jun-26</t>
  </si>
  <si>
    <t>PRAMOD MANVEL TUSCANO</t>
  </si>
  <si>
    <t>13-05-2026</t>
  </si>
  <si>
    <t>20-05-2026</t>
  </si>
  <si>
    <t>27-05-2026</t>
  </si>
  <si>
    <t>PREMKUMAR DHIRAJLAL MEHTA</t>
  </si>
  <si>
    <t>27ACTFS7418P1Z0</t>
  </si>
  <si>
    <t>SHREE MOMAI TRADERS</t>
  </si>
  <si>
    <t>10423</t>
  </si>
  <si>
    <t>VEENA  SOMANI</t>
  </si>
  <si>
    <t>SAEED MAHMOOD ALI KHAN</t>
  </si>
  <si>
    <t>30-05-2026</t>
  </si>
  <si>
    <t>BABULAL JAYANTILAL AND CO</t>
  </si>
  <si>
    <t>DHARMENDRA DHIRAJLAL DOSHI</t>
  </si>
  <si>
    <t>JAGDISH SHAGANLAL ASRANI</t>
  </si>
  <si>
    <t>08-05-2026</t>
  </si>
  <si>
    <t>15-05-2026</t>
  </si>
  <si>
    <t>29-05-2026</t>
  </si>
  <si>
    <t>MITESH JAYANTILAL RAJANI</t>
  </si>
  <si>
    <t>14-05-2026</t>
  </si>
  <si>
    <t>RASHMI TRADING COMPANY</t>
  </si>
  <si>
    <t>BAIT AL TAMUR CO</t>
  </si>
  <si>
    <t>03-Jun-26</t>
  </si>
  <si>
    <t>VIRAL AMBALAL DESAI</t>
  </si>
  <si>
    <t>ANIK ARVIND SANGOI</t>
  </si>
  <si>
    <t>22-05-2026</t>
  </si>
  <si>
    <t>04-Jun-26</t>
  </si>
  <si>
    <t>MANOJ LILADHARBHAI RATANGHAYRA</t>
  </si>
  <si>
    <t>CG MARKETING PRIVATE LIMITED</t>
  </si>
  <si>
    <t>VIMAL NITIN BHANUSHALI</t>
  </si>
  <si>
    <t>GOPAL KRISHNA  SOMANI</t>
  </si>
  <si>
    <t>2627-1301</t>
  </si>
  <si>
    <t>12-Jun-26</t>
  </si>
  <si>
    <t>2627-1509</t>
  </si>
  <si>
    <t>2627-881</t>
  </si>
  <si>
    <t>2A</t>
  </si>
  <si>
    <t>2B</t>
  </si>
  <si>
    <t>PURCHASE GST @ 5%</t>
  </si>
  <si>
    <t>INPUT CGST@2.5%</t>
  </si>
  <si>
    <t>Input Sgst @ 2.5%</t>
  </si>
  <si>
    <t>Taxfree Purchase</t>
  </si>
  <si>
    <t>Purchase GST @ 18%</t>
  </si>
  <si>
    <t>INPUT CGST @ 9%</t>
  </si>
  <si>
    <t>INPUT SGST @ 9 %</t>
  </si>
  <si>
    <t>Jaya Trading Co,</t>
  </si>
  <si>
    <t>Panna Trading Co</t>
  </si>
  <si>
    <t>V Enterprises</t>
  </si>
  <si>
    <t>Swastik Food Products</t>
  </si>
  <si>
    <t>Vora S Foods &amp; Beverages</t>
  </si>
  <si>
    <t>Om Sai Traders</t>
  </si>
  <si>
    <t>Gogri Masala  and  Dryfruit</t>
  </si>
  <si>
    <t>Shahratilal Somchan &amp; Co</t>
  </si>
  <si>
    <t>Prasanna Enterprises</t>
  </si>
  <si>
    <t>Priya Enterprises</t>
  </si>
  <si>
    <t>M5 Ventures</t>
  </si>
  <si>
    <t>Babulal Jayantilal &amp; Co.</t>
  </si>
  <si>
    <t>Ashapura Agrocomm Private Limited</t>
  </si>
  <si>
    <t>Sapna Sales Agencies</t>
  </si>
  <si>
    <t>Deepak Kumar &amp; Co</t>
  </si>
  <si>
    <t>M/s Bait Al Tamur Co</t>
  </si>
  <si>
    <t>Kalpana Trading</t>
  </si>
  <si>
    <t>Madhuban Trading Company</t>
  </si>
  <si>
    <t>ANIK FOODS &amp; BEVERAGES</t>
  </si>
  <si>
    <t>Vagad International</t>
  </si>
  <si>
    <t>Vijay Enterprises</t>
  </si>
  <si>
    <t>Hindustan Soft Sugar Factory</t>
  </si>
  <si>
    <t>Vishwas Tradelink</t>
  </si>
  <si>
    <t>Maheshwari Traders</t>
  </si>
  <si>
    <t>Rashmi Trading Co.</t>
  </si>
  <si>
    <t>C G Marketing Pvt Ltd</t>
  </si>
  <si>
    <t>Shree Gurukripa Trading</t>
  </si>
  <si>
    <t>Manoj Multifoods Pvt Ltd</t>
  </si>
  <si>
    <t>Bassein Sales</t>
  </si>
  <si>
    <t>Shree Momai Traders</t>
  </si>
  <si>
    <t>Error</t>
  </si>
  <si>
    <t>1123/26-27Jaya Trading Co,. Done!</t>
  </si>
  <si>
    <t>686/26-27Jaya Trading Co,. Done!</t>
  </si>
  <si>
    <t>PTC/00491/26-27Panna Trading Co. Done!</t>
  </si>
  <si>
    <t>PTC/00536/26-27Panna Trading Co. Done!</t>
  </si>
  <si>
    <t>PTC/00783/26-27Panna Trading Co. Done!</t>
  </si>
  <si>
    <t>2627-287Bassein Sales. Done!</t>
  </si>
  <si>
    <t>E12361V Enterprises. Done!</t>
  </si>
  <si>
    <t>E14479V Enterprises. Done!</t>
  </si>
  <si>
    <t>E16778V Enterprises. Done!</t>
  </si>
  <si>
    <t>E19239V Enterprises. Done!</t>
  </si>
  <si>
    <t>1083Swastik Food Products. Done!</t>
  </si>
  <si>
    <t>1399Swastik Food Products. Done!</t>
  </si>
  <si>
    <t>1682Swastik Food Products. Done!</t>
  </si>
  <si>
    <t>1708SANGLI TRADING CO. Done!</t>
  </si>
  <si>
    <t>2302SANGLI TRADING CO. Done!</t>
  </si>
  <si>
    <t>46Vora S Foods &amp; Beverages. Done!</t>
  </si>
  <si>
    <t>76Vora S Foods &amp; Beverages. Done!</t>
  </si>
  <si>
    <t>2627-5321Om Sai Traders. Done!</t>
  </si>
  <si>
    <t>2627-6188Om Sai Traders. Done!</t>
  </si>
  <si>
    <t>Continue...</t>
  </si>
  <si>
    <t>1066Gogri Masala  and  Dryfruit. Done!</t>
  </si>
  <si>
    <t>1256Gogri Masala  and  Dryfruit. Done!</t>
  </si>
  <si>
    <t>1432Gogri Masala  and  Dryfruit. Done!</t>
  </si>
  <si>
    <t>897Gogri Masala  and  Dryfruit. Done!</t>
  </si>
  <si>
    <t>RSB/01075/26-27Shahratilal Somchan &amp; Co. Done!</t>
  </si>
  <si>
    <t>RSB/01192/26-27Shahratilal Somchan &amp; Co. Done!</t>
  </si>
  <si>
    <t>RSB/01670/26-27Shahratilal Somchan &amp; Co. Done!</t>
  </si>
  <si>
    <t>RSB/01789/26-27Shahratilal Somchan &amp; Co. Done!</t>
  </si>
  <si>
    <t>2627-2400Joy Distributor. Done!</t>
  </si>
  <si>
    <t>2627-3297Joy Distributor. Done!</t>
  </si>
  <si>
    <t>A260003461Prasanna Enterprises. Done!</t>
  </si>
  <si>
    <t>A260003993Prasanna Enterprises. Done!</t>
  </si>
  <si>
    <t>A260004603Prasanna Enterprises. Done!</t>
  </si>
  <si>
    <t>A260005658Prasanna Enterprises. Done!</t>
  </si>
  <si>
    <t>0445/26-27Priya Enterprises. Done!</t>
  </si>
  <si>
    <t>0543/26-27Priya Enterprises. Done!</t>
  </si>
  <si>
    <t>10423Shree Momai Traders. Done!</t>
  </si>
  <si>
    <t>2627-691Mohit Traders. Done!</t>
  </si>
  <si>
    <t>2627-838Mohit Traders. Done!</t>
  </si>
  <si>
    <t>HLTIN438329M5 Ventures. Done!</t>
  </si>
  <si>
    <t>HLTIN443905M5 Ventures. Done!</t>
  </si>
  <si>
    <t>MLB144372603109M5 Ventures. Done!</t>
  </si>
  <si>
    <t>MLB144372603672M5 Ventures. Done!</t>
  </si>
  <si>
    <t>MLB144372605083M5 Ventures. Done!</t>
  </si>
  <si>
    <t>BJI1944Babulal Jayantilal &amp; Co.. Done!</t>
  </si>
  <si>
    <t>BJI2331Babulal Jayantilal &amp; Co.. Done!</t>
  </si>
  <si>
    <t>BJI2690Babulal Jayantilal &amp; Co.. Done!</t>
  </si>
  <si>
    <t>BJI3042Babulal Jayantilal &amp; Co.. Done!</t>
  </si>
  <si>
    <t>4624/2026-27Ashapura Agrocomm Private Limited. Done!</t>
  </si>
  <si>
    <t>2627-1054NIRMAL AGENCIES. Done!</t>
  </si>
  <si>
    <t>2627-1447NIRMAL AGENCIES. Done!</t>
  </si>
  <si>
    <t>E94A503467Sapna Sales Agencies. Done!</t>
  </si>
  <si>
    <t>E94A504119Sapna Sales Agencies. Done!</t>
  </si>
  <si>
    <t>E94A505494Sapna Sales Agencies. Done!</t>
  </si>
  <si>
    <t>5915Deepak Kumar &amp; Co. Done!</t>
  </si>
  <si>
    <t>2627-1099M R ENTERPRISES. Done!</t>
  </si>
  <si>
    <t>RTB/01666/26-27Rashmi Trading Co.. Done!</t>
  </si>
  <si>
    <t>26/G/5588M/s Bait Al Tamur Co. Done!</t>
  </si>
  <si>
    <t>2627-2149Kalpana Trading. Done!</t>
  </si>
  <si>
    <t>2627-2492Kalpana Trading. Done!</t>
  </si>
  <si>
    <t>MSH58128Madhuban Trading Company. Done!</t>
  </si>
  <si>
    <t>MSH58189Madhuban Trading Company. Done!</t>
  </si>
  <si>
    <t>MSH65563Madhuban Trading Company. Done!</t>
  </si>
  <si>
    <t>MSH72729Madhuban Trading Company. Done!</t>
  </si>
  <si>
    <t>MSH73346Madhuban Trading Company. Done!</t>
  </si>
  <si>
    <t>MSH73492Madhuban Trading Company. Done!</t>
  </si>
  <si>
    <t>MSH79534Madhuban Trading Company. Done!</t>
  </si>
  <si>
    <t>MSH80383Madhuban Trading Company. Done!</t>
  </si>
  <si>
    <t>2627-2568ANIK FOODS &amp; BEVERAGES. Done!</t>
  </si>
  <si>
    <t>CR18458Vagad International. Done!</t>
  </si>
  <si>
    <t>2627-1605Vijay Enterprises. Done!</t>
  </si>
  <si>
    <t>2627-1857Vijay Enterprises. Done!</t>
  </si>
  <si>
    <t>CGVIR-26-I014109C G Marketing Pvt Ltd. Done!</t>
  </si>
  <si>
    <t>CGVIR-26-I019585C G Marketing Pvt Ltd. Done!</t>
  </si>
  <si>
    <t>5033Hindustan Soft Sugar Factory. Done!</t>
  </si>
  <si>
    <t>739Vishwas Tradelink. Done!</t>
  </si>
  <si>
    <t>2627-586Shree Gurukripa Trading. Done!</t>
  </si>
  <si>
    <t>2627-705Shree Gurukripa Trading. Done!</t>
  </si>
  <si>
    <t>2627-828Shree Gurukripa Trading. Done!</t>
  </si>
  <si>
    <t>VASG-2627-00668Manoj Multifoods Pvt Ltd. Done!</t>
  </si>
  <si>
    <t>2627-1301Maheshwari Traders. Done!</t>
  </si>
  <si>
    <t>2627-1509Maheshwari Traders. Done!</t>
  </si>
  <si>
    <t>2627-881Maheshwari Traders. Done!</t>
  </si>
  <si>
    <t>Nidhi Enterprises</t>
  </si>
  <si>
    <t>Maria Agencies</t>
  </si>
  <si>
    <t>2627-1272Vijay Enterprises. Done!</t>
  </si>
  <si>
    <t>2627-155Vijay Enterprises. Done!</t>
  </si>
  <si>
    <t>2627-78Vijay Enterprises. Done!</t>
  </si>
  <si>
    <t>2627-176Maheshwari Traders. Done!</t>
  </si>
  <si>
    <t>2627-395Maheshwari Traders. Done!</t>
  </si>
  <si>
    <t>2627-489Maheshwari Traders. Done!</t>
  </si>
  <si>
    <t>2627-704Maheshwari Traders. Done!</t>
  </si>
  <si>
    <t>2627-390Nidhi Enterprises. Done!</t>
  </si>
  <si>
    <t>2627-597Nidhi Enterprises. Done!</t>
  </si>
  <si>
    <t>2627-49Maria Agencies. Done!</t>
  </si>
  <si>
    <t>2627-1191Om Sai Traders. Done!</t>
  </si>
  <si>
    <t>2627-2046Om Sai Traders. Done!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</si>
</sst>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05"/>
  <sheetViews>
    <sheetView tabSelected="1" workbookViewId="0"/>
  </sheetViews>
  <sheetFormatPr defaultRowHeight="15" x14ac:dyDescent="0.25"/>
  <cols>
    <col min="1" max="1" width="18.28515625" bestFit="1" customWidth="1"/>
    <col min="2" max="2" width="30.7109375" bestFit="1" customWidth="1"/>
    <col min="7" max="7" width="7.5703125" bestFit="1" customWidth="1"/>
  </cols>
  <sheetData>
    <row r="1" spans="1:81" x14ac:dyDescent="0.25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278</v>
      </c>
      <c r="I1" t="s">
        <v>279</v>
      </c>
      <c r="J1" t="s">
        <v>280</v>
      </c>
      <c r="K1" t="s">
        <v>282</v>
      </c>
      <c r="L1" t="s">
        <v>283</v>
      </c>
      <c r="M1" t="s">
        <v>284</v>
      </c>
      <c r="N1" t="s">
        <v>281</v>
      </c>
      <c r="O1" t="s">
        <v>201</v>
      </c>
      <c r="P1" t="s">
        <v>202</v>
      </c>
      <c r="Q1" t="s">
        <v>203</v>
      </c>
      <c r="R1" t="s">
        <v>204</v>
      </c>
      <c r="CC1" t="s">
        <v>315</v>
      </c>
    </row>
    <row r="2" spans="1:81" x14ac:dyDescent="0.25">
      <c r="A2" t="s">
        <v>52</v>
      </c>
      <c r="B2" t="s">
        <v>285</v>
      </c>
      <c r="C2" t="s">
        <v>54</v>
      </c>
      <c r="D2" t="s">
        <v>209</v>
      </c>
      <c r="E2" t="s">
        <v>205</v>
      </c>
      <c r="F2" t="s">
        <v>206</v>
      </c>
      <c r="G2">
        <v>5</v>
      </c>
      <c r="H2">
        <v>11000</v>
      </c>
      <c r="I2" s="1">
        <v>275</v>
      </c>
      <c r="J2">
        <v>275</v>
      </c>
      <c r="O2">
        <v>11000</v>
      </c>
      <c r="P2">
        <v>0</v>
      </c>
      <c r="Q2">
        <v>275</v>
      </c>
      <c r="R2">
        <v>275</v>
      </c>
      <c r="CC2" t="s">
        <v>316</v>
      </c>
    </row>
    <row r="3" spans="1:81" x14ac:dyDescent="0.25">
      <c r="A3" t="s">
        <v>52</v>
      </c>
      <c r="B3" t="s">
        <v>285</v>
      </c>
      <c r="C3" t="s">
        <v>55</v>
      </c>
      <c r="D3" t="s">
        <v>214</v>
      </c>
      <c r="E3" t="s">
        <v>205</v>
      </c>
      <c r="F3" t="s">
        <v>206</v>
      </c>
      <c r="G3">
        <v>5</v>
      </c>
      <c r="H3">
        <v>11000</v>
      </c>
      <c r="I3" s="1">
        <v>275</v>
      </c>
      <c r="J3">
        <v>275</v>
      </c>
      <c r="O3">
        <v>11000</v>
      </c>
      <c r="P3">
        <v>0</v>
      </c>
      <c r="Q3">
        <v>275</v>
      </c>
      <c r="R3">
        <v>275</v>
      </c>
      <c r="CC3" t="s">
        <v>317</v>
      </c>
    </row>
    <row r="4" spans="1:81" x14ac:dyDescent="0.25">
      <c r="A4" t="s">
        <v>184</v>
      </c>
      <c r="B4" t="s">
        <v>286</v>
      </c>
      <c r="C4" t="s">
        <v>186</v>
      </c>
      <c r="D4" t="s">
        <v>215</v>
      </c>
      <c r="E4" t="s">
        <v>205</v>
      </c>
      <c r="F4" t="s">
        <v>206</v>
      </c>
      <c r="G4">
        <v>5</v>
      </c>
      <c r="H4">
        <v>4662.72</v>
      </c>
      <c r="I4" s="1">
        <v>116.57</v>
      </c>
      <c r="J4">
        <v>116.57</v>
      </c>
      <c r="O4">
        <v>4662.72</v>
      </c>
      <c r="P4">
        <v>0</v>
      </c>
      <c r="Q4">
        <v>116.57</v>
      </c>
      <c r="R4">
        <v>116.57</v>
      </c>
      <c r="CC4" t="s">
        <v>318</v>
      </c>
    </row>
    <row r="5" spans="1:81" x14ac:dyDescent="0.25">
      <c r="A5" t="s">
        <v>184</v>
      </c>
      <c r="B5" t="s">
        <v>286</v>
      </c>
      <c r="C5" t="s">
        <v>187</v>
      </c>
      <c r="D5" t="s">
        <v>217</v>
      </c>
      <c r="E5" t="s">
        <v>205</v>
      </c>
      <c r="F5" t="s">
        <v>206</v>
      </c>
      <c r="G5">
        <v>5</v>
      </c>
      <c r="H5">
        <v>38571</v>
      </c>
      <c r="I5" s="1">
        <v>964.28</v>
      </c>
      <c r="J5">
        <v>964.28</v>
      </c>
      <c r="O5">
        <v>38571</v>
      </c>
      <c r="P5">
        <v>0</v>
      </c>
      <c r="Q5">
        <v>964.28</v>
      </c>
      <c r="R5">
        <v>964.28</v>
      </c>
      <c r="CC5" t="s">
        <v>319</v>
      </c>
    </row>
    <row r="6" spans="1:81" x14ac:dyDescent="0.25">
      <c r="A6" t="s">
        <v>184</v>
      </c>
      <c r="B6" t="s">
        <v>286</v>
      </c>
      <c r="C6" t="s">
        <v>188</v>
      </c>
      <c r="D6" t="s">
        <v>218</v>
      </c>
      <c r="E6" t="s">
        <v>205</v>
      </c>
      <c r="F6" t="s">
        <v>206</v>
      </c>
      <c r="G6">
        <v>5</v>
      </c>
      <c r="H6">
        <v>11523.8</v>
      </c>
      <c r="I6" s="1">
        <v>288.10000000000002</v>
      </c>
      <c r="J6">
        <v>288.10000000000002</v>
      </c>
      <c r="O6">
        <v>11523.8</v>
      </c>
      <c r="P6">
        <v>0</v>
      </c>
      <c r="Q6">
        <v>288.10000000000002</v>
      </c>
      <c r="R6">
        <v>288.10000000000002</v>
      </c>
      <c r="CC6" t="s">
        <v>320</v>
      </c>
    </row>
    <row r="7" spans="1:81" x14ac:dyDescent="0.25">
      <c r="A7" t="s">
        <v>219</v>
      </c>
      <c r="B7" t="s">
        <v>313</v>
      </c>
      <c r="C7" t="s">
        <v>221</v>
      </c>
      <c r="D7" t="s">
        <v>222</v>
      </c>
      <c r="E7" t="s">
        <v>205</v>
      </c>
      <c r="F7" t="s">
        <v>206</v>
      </c>
      <c r="G7">
        <v>5</v>
      </c>
      <c r="H7">
        <v>695.26</v>
      </c>
      <c r="I7" s="1">
        <v>17.38</v>
      </c>
      <c r="J7">
        <v>17.38</v>
      </c>
      <c r="O7">
        <v>695.26</v>
      </c>
      <c r="P7">
        <v>0</v>
      </c>
      <c r="Q7">
        <v>17.38</v>
      </c>
      <c r="R7">
        <v>17.38</v>
      </c>
      <c r="CC7" t="s">
        <v>321</v>
      </c>
    </row>
    <row r="8" spans="1:81" x14ac:dyDescent="0.25">
      <c r="A8" t="s">
        <v>122</v>
      </c>
      <c r="B8" t="s">
        <v>287</v>
      </c>
      <c r="C8" t="s">
        <v>124</v>
      </c>
      <c r="D8" t="s">
        <v>215</v>
      </c>
      <c r="E8" t="s">
        <v>205</v>
      </c>
      <c r="F8" t="s">
        <v>206</v>
      </c>
      <c r="G8">
        <v>5</v>
      </c>
      <c r="H8">
        <v>211.64</v>
      </c>
      <c r="I8" s="1">
        <v>5.29</v>
      </c>
      <c r="J8">
        <v>5.29</v>
      </c>
      <c r="O8">
        <v>211.64</v>
      </c>
      <c r="P8">
        <v>0</v>
      </c>
      <c r="Q8">
        <v>5.29</v>
      </c>
      <c r="R8">
        <v>5.29</v>
      </c>
      <c r="CC8" t="s">
        <v>322</v>
      </c>
    </row>
    <row r="9" spans="1:81" x14ac:dyDescent="0.25">
      <c r="A9" t="s">
        <v>122</v>
      </c>
      <c r="B9" t="s">
        <v>287</v>
      </c>
      <c r="C9" t="s">
        <v>125</v>
      </c>
      <c r="D9" t="s">
        <v>223</v>
      </c>
      <c r="E9" t="s">
        <v>205</v>
      </c>
      <c r="F9" t="s">
        <v>206</v>
      </c>
      <c r="G9">
        <v>5</v>
      </c>
      <c r="H9">
        <v>570.27</v>
      </c>
      <c r="I9" s="1">
        <v>14.26</v>
      </c>
      <c r="J9">
        <v>14.26</v>
      </c>
      <c r="O9">
        <v>570.27</v>
      </c>
      <c r="P9">
        <v>0</v>
      </c>
      <c r="Q9">
        <v>14.26</v>
      </c>
      <c r="R9">
        <v>14.26</v>
      </c>
      <c r="CC9" t="s">
        <v>323</v>
      </c>
    </row>
    <row r="10" spans="1:81" x14ac:dyDescent="0.25">
      <c r="A10" t="s">
        <v>122</v>
      </c>
      <c r="B10" t="s">
        <v>287</v>
      </c>
      <c r="C10" t="s">
        <v>126</v>
      </c>
      <c r="D10" t="s">
        <v>224</v>
      </c>
      <c r="E10" t="s">
        <v>205</v>
      </c>
      <c r="F10" t="s">
        <v>206</v>
      </c>
      <c r="G10">
        <v>5</v>
      </c>
      <c r="H10">
        <v>978.29</v>
      </c>
      <c r="I10" s="1">
        <v>24.46</v>
      </c>
      <c r="J10">
        <v>24.46</v>
      </c>
      <c r="O10">
        <v>978.29</v>
      </c>
      <c r="P10">
        <v>0</v>
      </c>
      <c r="Q10">
        <v>24.46</v>
      </c>
      <c r="R10">
        <v>24.46</v>
      </c>
      <c r="CC10" t="s">
        <v>324</v>
      </c>
    </row>
    <row r="11" spans="1:81" x14ac:dyDescent="0.25">
      <c r="A11" t="s">
        <v>122</v>
      </c>
      <c r="B11" t="s">
        <v>287</v>
      </c>
      <c r="C11" t="s">
        <v>127</v>
      </c>
      <c r="D11" t="s">
        <v>209</v>
      </c>
      <c r="E11" t="s">
        <v>205</v>
      </c>
      <c r="F11" t="s">
        <v>206</v>
      </c>
      <c r="G11">
        <v>5</v>
      </c>
      <c r="H11">
        <v>426.42</v>
      </c>
      <c r="I11" s="1">
        <v>10.66</v>
      </c>
      <c r="J11">
        <v>10.66</v>
      </c>
      <c r="O11">
        <v>426.42</v>
      </c>
      <c r="P11">
        <v>0</v>
      </c>
      <c r="Q11">
        <v>10.66</v>
      </c>
      <c r="R11">
        <v>10.66</v>
      </c>
      <c r="CC11" t="s">
        <v>325</v>
      </c>
    </row>
    <row r="12" spans="1:81" x14ac:dyDescent="0.25">
      <c r="A12" t="s">
        <v>172</v>
      </c>
      <c r="B12" t="s">
        <v>288</v>
      </c>
      <c r="C12" t="s">
        <v>174</v>
      </c>
      <c r="D12" t="s">
        <v>226</v>
      </c>
      <c r="E12" t="s">
        <v>205</v>
      </c>
      <c r="F12" t="s">
        <v>206</v>
      </c>
      <c r="G12">
        <v>5</v>
      </c>
      <c r="H12">
        <v>21508.32</v>
      </c>
      <c r="I12" s="1">
        <v>537.71</v>
      </c>
      <c r="J12">
        <v>537.71</v>
      </c>
      <c r="O12">
        <v>21508.32</v>
      </c>
      <c r="P12">
        <v>0</v>
      </c>
      <c r="Q12">
        <v>537.71</v>
      </c>
      <c r="R12">
        <v>537.71</v>
      </c>
      <c r="CC12" t="s">
        <v>326</v>
      </c>
    </row>
    <row r="13" spans="1:81" x14ac:dyDescent="0.25">
      <c r="A13" t="s">
        <v>172</v>
      </c>
      <c r="B13" t="s">
        <v>288</v>
      </c>
      <c r="C13" t="s">
        <v>175</v>
      </c>
      <c r="D13" t="s">
        <v>228</v>
      </c>
      <c r="E13" t="s">
        <v>205</v>
      </c>
      <c r="F13" t="s">
        <v>206</v>
      </c>
      <c r="G13">
        <v>5</v>
      </c>
      <c r="H13">
        <v>16077.6</v>
      </c>
      <c r="I13" s="1">
        <v>401.94</v>
      </c>
      <c r="J13">
        <v>401.94</v>
      </c>
      <c r="O13">
        <v>16077.6</v>
      </c>
      <c r="P13">
        <v>0</v>
      </c>
      <c r="Q13">
        <v>401.94</v>
      </c>
      <c r="R13">
        <v>401.94</v>
      </c>
      <c r="CC13" t="s">
        <v>327</v>
      </c>
    </row>
    <row r="14" spans="1:81" x14ac:dyDescent="0.25">
      <c r="A14" t="s">
        <v>172</v>
      </c>
      <c r="B14" t="s">
        <v>288</v>
      </c>
      <c r="C14" t="s">
        <v>176</v>
      </c>
      <c r="D14" t="s">
        <v>229</v>
      </c>
      <c r="E14" t="s">
        <v>205</v>
      </c>
      <c r="F14" t="s">
        <v>206</v>
      </c>
      <c r="G14">
        <v>5</v>
      </c>
      <c r="H14">
        <v>21470.400000000001</v>
      </c>
      <c r="I14" s="1">
        <v>536.76</v>
      </c>
      <c r="J14">
        <v>536.76</v>
      </c>
      <c r="O14">
        <v>21470.400000000001</v>
      </c>
      <c r="P14">
        <v>0</v>
      </c>
      <c r="Q14">
        <v>536.76</v>
      </c>
      <c r="R14">
        <v>536.76</v>
      </c>
      <c r="CC14" t="s">
        <v>328</v>
      </c>
    </row>
    <row r="15" spans="1:81" x14ac:dyDescent="0.25">
      <c r="A15" t="s">
        <v>76</v>
      </c>
      <c r="B15" t="s">
        <v>77</v>
      </c>
      <c r="C15" t="s">
        <v>78</v>
      </c>
      <c r="D15" t="s">
        <v>231</v>
      </c>
      <c r="E15" t="s">
        <v>205</v>
      </c>
      <c r="F15" t="s">
        <v>206</v>
      </c>
      <c r="G15">
        <v>5</v>
      </c>
      <c r="H15">
        <v>4350</v>
      </c>
      <c r="I15" s="1">
        <v>108.75</v>
      </c>
      <c r="J15">
        <v>108.75</v>
      </c>
      <c r="O15">
        <v>4350</v>
      </c>
      <c r="P15">
        <v>0</v>
      </c>
      <c r="Q15">
        <v>108.75</v>
      </c>
      <c r="R15">
        <v>108.75</v>
      </c>
      <c r="CC15" t="s">
        <v>329</v>
      </c>
    </row>
    <row r="16" spans="1:81" x14ac:dyDescent="0.25">
      <c r="A16" t="s">
        <v>76</v>
      </c>
      <c r="B16" t="s">
        <v>77</v>
      </c>
      <c r="C16" t="s">
        <v>80</v>
      </c>
      <c r="D16" t="s">
        <v>209</v>
      </c>
      <c r="E16" t="s">
        <v>205</v>
      </c>
      <c r="F16" t="s">
        <v>206</v>
      </c>
      <c r="G16">
        <v>5</v>
      </c>
      <c r="H16">
        <v>4350</v>
      </c>
      <c r="I16" s="1">
        <v>108.75</v>
      </c>
      <c r="J16">
        <v>108.75</v>
      </c>
      <c r="O16">
        <v>4350</v>
      </c>
      <c r="P16">
        <v>0</v>
      </c>
      <c r="Q16">
        <v>108.75</v>
      </c>
      <c r="R16">
        <v>108.75</v>
      </c>
      <c r="CC16" t="s">
        <v>330</v>
      </c>
    </row>
    <row r="17" spans="1:81" x14ac:dyDescent="0.25">
      <c r="A17" t="s">
        <v>81</v>
      </c>
      <c r="B17" t="s">
        <v>289</v>
      </c>
      <c r="C17" t="s">
        <v>83</v>
      </c>
      <c r="D17" t="s">
        <v>215</v>
      </c>
      <c r="E17" t="s">
        <v>205</v>
      </c>
      <c r="F17" t="s">
        <v>206</v>
      </c>
      <c r="G17">
        <v>5</v>
      </c>
      <c r="H17">
        <v>10030</v>
      </c>
      <c r="I17" s="1">
        <v>250.75</v>
      </c>
      <c r="J17">
        <v>250.75</v>
      </c>
      <c r="O17">
        <v>10030</v>
      </c>
      <c r="P17">
        <v>0</v>
      </c>
      <c r="Q17">
        <v>250.75</v>
      </c>
      <c r="R17">
        <v>250.75</v>
      </c>
      <c r="CC17" t="s">
        <v>331</v>
      </c>
    </row>
    <row r="18" spans="1:81" x14ac:dyDescent="0.25">
      <c r="A18" t="s">
        <v>81</v>
      </c>
      <c r="B18" t="s">
        <v>289</v>
      </c>
      <c r="C18" t="s">
        <v>84</v>
      </c>
      <c r="D18" t="s">
        <v>209</v>
      </c>
      <c r="E18" t="s">
        <v>205</v>
      </c>
      <c r="F18" t="s">
        <v>206</v>
      </c>
      <c r="G18">
        <v>5</v>
      </c>
      <c r="H18">
        <v>10030</v>
      </c>
      <c r="I18" s="1">
        <v>250.75</v>
      </c>
      <c r="J18">
        <v>250.75</v>
      </c>
      <c r="O18">
        <v>10030</v>
      </c>
      <c r="P18">
        <v>0</v>
      </c>
      <c r="Q18">
        <v>250.75</v>
      </c>
      <c r="R18">
        <v>250.75</v>
      </c>
      <c r="CC18" t="s">
        <v>332</v>
      </c>
    </row>
    <row r="19" spans="1:81" x14ac:dyDescent="0.25">
      <c r="A19" t="s">
        <v>41</v>
      </c>
      <c r="B19" t="s">
        <v>290</v>
      </c>
      <c r="C19" t="s">
        <v>43</v>
      </c>
      <c r="D19" t="s">
        <v>228</v>
      </c>
      <c r="E19" t="s">
        <v>205</v>
      </c>
      <c r="F19" t="s">
        <v>206</v>
      </c>
      <c r="G19">
        <v>5</v>
      </c>
      <c r="H19">
        <v>12608.46</v>
      </c>
      <c r="I19" s="1">
        <v>315.20999999999998</v>
      </c>
      <c r="J19">
        <v>315.20999999999998</v>
      </c>
      <c r="O19">
        <v>12608.46</v>
      </c>
      <c r="P19">
        <v>0</v>
      </c>
      <c r="Q19">
        <v>315.20999999999998</v>
      </c>
      <c r="R19">
        <v>315.20999999999998</v>
      </c>
      <c r="CC19" t="s">
        <v>333</v>
      </c>
    </row>
    <row r="20" spans="1:81" x14ac:dyDescent="0.25">
      <c r="A20" t="s">
        <v>41</v>
      </c>
      <c r="B20" t="s">
        <v>290</v>
      </c>
      <c r="C20" t="s">
        <v>45</v>
      </c>
      <c r="D20" t="s">
        <v>218</v>
      </c>
      <c r="E20" t="s">
        <v>205</v>
      </c>
      <c r="F20" t="s">
        <v>206</v>
      </c>
      <c r="G20">
        <v>5</v>
      </c>
      <c r="H20">
        <v>6476.04</v>
      </c>
      <c r="I20" s="1">
        <v>161.9</v>
      </c>
      <c r="J20">
        <v>161.9</v>
      </c>
      <c r="O20">
        <v>6476.04</v>
      </c>
      <c r="P20">
        <v>0</v>
      </c>
      <c r="Q20">
        <v>161.9</v>
      </c>
      <c r="R20">
        <v>161.9</v>
      </c>
      <c r="CC20" t="s">
        <v>334</v>
      </c>
    </row>
    <row r="21" spans="1:81" x14ac:dyDescent="0.25">
      <c r="A21" t="s">
        <v>69</v>
      </c>
      <c r="B21" t="s">
        <v>291</v>
      </c>
      <c r="C21" t="s">
        <v>71</v>
      </c>
      <c r="D21" t="s">
        <v>223</v>
      </c>
      <c r="E21" t="s">
        <v>205</v>
      </c>
      <c r="F21" t="s">
        <v>206</v>
      </c>
      <c r="G21">
        <v>5</v>
      </c>
      <c r="H21">
        <v>12436.19</v>
      </c>
      <c r="I21" s="1">
        <v>310.89999999999998</v>
      </c>
      <c r="J21">
        <v>310.89999999999998</v>
      </c>
      <c r="O21">
        <v>12436.19</v>
      </c>
      <c r="P21">
        <v>0</v>
      </c>
      <c r="Q21">
        <v>310.89999999999998</v>
      </c>
      <c r="R21">
        <v>310.89999999999998</v>
      </c>
      <c r="CC21" t="s">
        <v>335</v>
      </c>
    </row>
    <row r="22" spans="1:81" x14ac:dyDescent="0.25">
      <c r="A22" t="s">
        <v>69</v>
      </c>
      <c r="B22" t="s">
        <v>291</v>
      </c>
      <c r="C22" t="s">
        <v>71</v>
      </c>
      <c r="D22" t="s">
        <v>223</v>
      </c>
      <c r="E22" t="s">
        <v>205</v>
      </c>
      <c r="F22" t="s">
        <v>206</v>
      </c>
      <c r="G22">
        <v>0</v>
      </c>
      <c r="I22" s="1"/>
      <c r="N22">
        <v>1390</v>
      </c>
      <c r="O22">
        <v>1390</v>
      </c>
      <c r="P22">
        <v>0</v>
      </c>
      <c r="Q22">
        <v>0</v>
      </c>
      <c r="R22">
        <v>0</v>
      </c>
      <c r="CC22" t="s">
        <v>336</v>
      </c>
    </row>
    <row r="23" spans="1:81" x14ac:dyDescent="0.25">
      <c r="A23" t="s">
        <v>69</v>
      </c>
      <c r="B23" t="s">
        <v>291</v>
      </c>
      <c r="C23" t="s">
        <v>72</v>
      </c>
      <c r="D23" t="s">
        <v>224</v>
      </c>
      <c r="E23" t="s">
        <v>205</v>
      </c>
      <c r="F23" t="s">
        <v>206</v>
      </c>
      <c r="G23">
        <v>5</v>
      </c>
      <c r="H23">
        <v>16781.05</v>
      </c>
      <c r="I23" s="1">
        <v>419.53</v>
      </c>
      <c r="J23">
        <v>419.53</v>
      </c>
      <c r="O23">
        <v>16781.05</v>
      </c>
      <c r="P23">
        <v>0</v>
      </c>
      <c r="Q23">
        <v>419.53</v>
      </c>
      <c r="R23">
        <v>419.53</v>
      </c>
      <c r="CC23" t="s">
        <v>335</v>
      </c>
    </row>
    <row r="24" spans="1:81" x14ac:dyDescent="0.25">
      <c r="A24" t="s">
        <v>69</v>
      </c>
      <c r="B24" t="s">
        <v>291</v>
      </c>
      <c r="C24" t="s">
        <v>72</v>
      </c>
      <c r="D24" t="s">
        <v>224</v>
      </c>
      <c r="E24" t="s">
        <v>205</v>
      </c>
      <c r="F24" t="s">
        <v>206</v>
      </c>
      <c r="G24">
        <v>0</v>
      </c>
      <c r="I24" s="1"/>
      <c r="N24">
        <v>275</v>
      </c>
      <c r="O24">
        <v>275</v>
      </c>
      <c r="P24">
        <v>0</v>
      </c>
      <c r="Q24">
        <v>0</v>
      </c>
      <c r="R24">
        <v>0</v>
      </c>
      <c r="CC24" t="s">
        <v>337</v>
      </c>
    </row>
    <row r="25" spans="1:81" x14ac:dyDescent="0.25">
      <c r="A25" t="s">
        <v>69</v>
      </c>
      <c r="B25" t="s">
        <v>291</v>
      </c>
      <c r="C25" t="s">
        <v>73</v>
      </c>
      <c r="D25" t="s">
        <v>209</v>
      </c>
      <c r="E25" t="s">
        <v>205</v>
      </c>
      <c r="F25" t="s">
        <v>206</v>
      </c>
      <c r="G25">
        <v>0</v>
      </c>
      <c r="I25" s="1"/>
      <c r="N25">
        <v>250</v>
      </c>
      <c r="O25">
        <v>250</v>
      </c>
      <c r="P25">
        <v>0</v>
      </c>
      <c r="Q25">
        <v>0</v>
      </c>
      <c r="R25">
        <v>0</v>
      </c>
      <c r="CC25" t="s">
        <v>335</v>
      </c>
    </row>
    <row r="26" spans="1:81" x14ac:dyDescent="0.25">
      <c r="A26" t="s">
        <v>69</v>
      </c>
      <c r="B26" t="s">
        <v>291</v>
      </c>
      <c r="C26" t="s">
        <v>73</v>
      </c>
      <c r="D26" t="s">
        <v>209</v>
      </c>
      <c r="E26" t="s">
        <v>205</v>
      </c>
      <c r="F26" t="s">
        <v>206</v>
      </c>
      <c r="G26">
        <v>5</v>
      </c>
      <c r="H26">
        <v>28276.02</v>
      </c>
      <c r="I26" s="1">
        <v>706.9</v>
      </c>
      <c r="J26">
        <v>706.9</v>
      </c>
      <c r="O26">
        <v>28276.02</v>
      </c>
      <c r="P26">
        <v>0</v>
      </c>
      <c r="Q26">
        <v>706.9</v>
      </c>
      <c r="R26">
        <v>706.9</v>
      </c>
      <c r="CC26" t="s">
        <v>338</v>
      </c>
    </row>
    <row r="27" spans="1:81" x14ac:dyDescent="0.25">
      <c r="A27" t="s">
        <v>69</v>
      </c>
      <c r="B27" t="s">
        <v>291</v>
      </c>
      <c r="C27" t="s">
        <v>75</v>
      </c>
      <c r="D27" t="s">
        <v>215</v>
      </c>
      <c r="E27" t="s">
        <v>205</v>
      </c>
      <c r="F27" t="s">
        <v>206</v>
      </c>
      <c r="G27">
        <v>5</v>
      </c>
      <c r="H27">
        <v>14657.32</v>
      </c>
      <c r="I27" s="1">
        <v>366.44</v>
      </c>
      <c r="J27">
        <v>366.44</v>
      </c>
      <c r="O27">
        <v>14657.32</v>
      </c>
      <c r="P27">
        <v>0</v>
      </c>
      <c r="Q27">
        <v>366.44</v>
      </c>
      <c r="R27">
        <v>366.44</v>
      </c>
      <c r="CC27" t="s">
        <v>335</v>
      </c>
    </row>
    <row r="28" spans="1:81" x14ac:dyDescent="0.25">
      <c r="A28" t="s">
        <v>69</v>
      </c>
      <c r="B28" t="s">
        <v>291</v>
      </c>
      <c r="C28" t="s">
        <v>75</v>
      </c>
      <c r="D28" t="s">
        <v>215</v>
      </c>
      <c r="E28" t="s">
        <v>205</v>
      </c>
      <c r="F28" t="s">
        <v>206</v>
      </c>
      <c r="G28">
        <v>0</v>
      </c>
      <c r="I28" s="1"/>
      <c r="N28">
        <v>450</v>
      </c>
      <c r="O28">
        <v>450</v>
      </c>
      <c r="P28">
        <v>0</v>
      </c>
      <c r="Q28">
        <v>0</v>
      </c>
      <c r="R28">
        <v>0</v>
      </c>
      <c r="CC28" t="s">
        <v>339</v>
      </c>
    </row>
    <row r="29" spans="1:81" x14ac:dyDescent="0.25">
      <c r="A29" t="s">
        <v>163</v>
      </c>
      <c r="B29" t="s">
        <v>292</v>
      </c>
      <c r="C29" t="s">
        <v>165</v>
      </c>
      <c r="D29" t="s">
        <v>238</v>
      </c>
      <c r="E29" t="s">
        <v>205</v>
      </c>
      <c r="F29" t="s">
        <v>206</v>
      </c>
      <c r="G29">
        <v>0</v>
      </c>
      <c r="I29" s="1"/>
      <c r="N29">
        <v>6815</v>
      </c>
      <c r="O29">
        <v>6815</v>
      </c>
      <c r="P29">
        <v>0</v>
      </c>
      <c r="Q29">
        <v>0</v>
      </c>
      <c r="R29">
        <v>0</v>
      </c>
      <c r="CC29" t="s">
        <v>335</v>
      </c>
    </row>
    <row r="30" spans="1:81" x14ac:dyDescent="0.25">
      <c r="A30" t="s">
        <v>163</v>
      </c>
      <c r="B30" t="s">
        <v>292</v>
      </c>
      <c r="C30" t="s">
        <v>165</v>
      </c>
      <c r="D30" t="s">
        <v>238</v>
      </c>
      <c r="E30" t="s">
        <v>205</v>
      </c>
      <c r="F30" t="s">
        <v>206</v>
      </c>
      <c r="G30">
        <v>5</v>
      </c>
      <c r="H30">
        <v>7238.09</v>
      </c>
      <c r="I30" s="1">
        <v>180.95</v>
      </c>
      <c r="J30">
        <v>180.95</v>
      </c>
      <c r="O30">
        <v>7238.09</v>
      </c>
      <c r="P30">
        <v>0</v>
      </c>
      <c r="Q30">
        <v>180.95</v>
      </c>
      <c r="R30">
        <v>180.95</v>
      </c>
      <c r="CC30" t="s">
        <v>340</v>
      </c>
    </row>
    <row r="31" spans="1:81" x14ac:dyDescent="0.25">
      <c r="A31" t="s">
        <v>163</v>
      </c>
      <c r="B31" t="s">
        <v>292</v>
      </c>
      <c r="C31" t="s">
        <v>167</v>
      </c>
      <c r="D31" t="s">
        <v>215</v>
      </c>
      <c r="E31" t="s">
        <v>205</v>
      </c>
      <c r="F31" t="s">
        <v>206</v>
      </c>
      <c r="G31">
        <v>5</v>
      </c>
      <c r="H31">
        <v>30785.68</v>
      </c>
      <c r="I31" s="1">
        <v>769.64</v>
      </c>
      <c r="J31">
        <v>769.64</v>
      </c>
      <c r="O31">
        <v>30785.68</v>
      </c>
      <c r="P31">
        <v>0</v>
      </c>
      <c r="Q31">
        <v>769.64</v>
      </c>
      <c r="R31">
        <v>769.64</v>
      </c>
      <c r="CC31" t="s">
        <v>341</v>
      </c>
    </row>
    <row r="32" spans="1:81" x14ac:dyDescent="0.25">
      <c r="A32" t="s">
        <v>163</v>
      </c>
      <c r="B32" t="s">
        <v>292</v>
      </c>
      <c r="C32" t="s">
        <v>168</v>
      </c>
      <c r="D32" t="s">
        <v>224</v>
      </c>
      <c r="E32" t="s">
        <v>205</v>
      </c>
      <c r="F32" t="s">
        <v>206</v>
      </c>
      <c r="G32">
        <v>0</v>
      </c>
      <c r="I32" s="1"/>
      <c r="N32">
        <v>920</v>
      </c>
      <c r="O32">
        <v>920</v>
      </c>
      <c r="P32">
        <v>0</v>
      </c>
      <c r="Q32">
        <v>0</v>
      </c>
      <c r="R32">
        <v>0</v>
      </c>
      <c r="CC32" t="s">
        <v>335</v>
      </c>
    </row>
    <row r="33" spans="1:81" x14ac:dyDescent="0.25">
      <c r="A33" t="s">
        <v>163</v>
      </c>
      <c r="B33" t="s">
        <v>292</v>
      </c>
      <c r="C33" t="s">
        <v>168</v>
      </c>
      <c r="D33" t="s">
        <v>224</v>
      </c>
      <c r="E33" t="s">
        <v>205</v>
      </c>
      <c r="F33" t="s">
        <v>206</v>
      </c>
      <c r="G33">
        <v>5</v>
      </c>
      <c r="H33">
        <v>41895.19</v>
      </c>
      <c r="I33" s="1">
        <v>1047.3800000000001</v>
      </c>
      <c r="J33">
        <v>1047.3800000000001</v>
      </c>
      <c r="O33">
        <v>41895.19</v>
      </c>
      <c r="P33">
        <v>0</v>
      </c>
      <c r="Q33">
        <v>1047.3800000000001</v>
      </c>
      <c r="R33">
        <v>1047.3800000000001</v>
      </c>
      <c r="CC33" t="s">
        <v>342</v>
      </c>
    </row>
    <row r="34" spans="1:81" x14ac:dyDescent="0.25">
      <c r="A34" t="s">
        <v>163</v>
      </c>
      <c r="B34" t="s">
        <v>292</v>
      </c>
      <c r="C34" t="s">
        <v>169</v>
      </c>
      <c r="D34" t="s">
        <v>239</v>
      </c>
      <c r="E34" t="s">
        <v>205</v>
      </c>
      <c r="F34" t="s">
        <v>206</v>
      </c>
      <c r="G34">
        <v>5</v>
      </c>
      <c r="H34">
        <v>8285.7099999999991</v>
      </c>
      <c r="I34" s="1">
        <v>207.14</v>
      </c>
      <c r="J34">
        <v>207.14</v>
      </c>
      <c r="O34">
        <v>8285.7099999999991</v>
      </c>
      <c r="P34">
        <v>0</v>
      </c>
      <c r="Q34">
        <v>207.14</v>
      </c>
      <c r="R34">
        <v>207.14</v>
      </c>
      <c r="CC34" t="s">
        <v>343</v>
      </c>
    </row>
    <row r="35" spans="1:81" x14ac:dyDescent="0.25">
      <c r="A35" t="s">
        <v>153</v>
      </c>
      <c r="B35" t="s">
        <v>154</v>
      </c>
      <c r="C35" t="s">
        <v>155</v>
      </c>
      <c r="D35" t="s">
        <v>217</v>
      </c>
      <c r="E35" t="s">
        <v>205</v>
      </c>
      <c r="F35" t="s">
        <v>206</v>
      </c>
      <c r="G35">
        <v>5</v>
      </c>
      <c r="H35">
        <v>483.36</v>
      </c>
      <c r="I35" s="1">
        <v>12.08</v>
      </c>
      <c r="J35">
        <v>12.08</v>
      </c>
      <c r="O35">
        <v>483.36</v>
      </c>
      <c r="P35">
        <v>0</v>
      </c>
      <c r="Q35">
        <v>12.08</v>
      </c>
      <c r="R35">
        <v>12.08</v>
      </c>
      <c r="CC35" t="s">
        <v>344</v>
      </c>
    </row>
    <row r="36" spans="1:81" x14ac:dyDescent="0.25">
      <c r="A36" t="s">
        <v>153</v>
      </c>
      <c r="B36" t="s">
        <v>154</v>
      </c>
      <c r="C36" t="s">
        <v>156</v>
      </c>
      <c r="D36" t="s">
        <v>239</v>
      </c>
      <c r="E36" t="s">
        <v>205</v>
      </c>
      <c r="F36" t="s">
        <v>206</v>
      </c>
      <c r="G36">
        <v>5</v>
      </c>
      <c r="H36">
        <v>2149.6799999999998</v>
      </c>
      <c r="I36" s="1">
        <v>53.75</v>
      </c>
      <c r="J36">
        <v>53.75</v>
      </c>
      <c r="O36">
        <v>2149.6799999999998</v>
      </c>
      <c r="P36">
        <v>0</v>
      </c>
      <c r="Q36">
        <v>53.75</v>
      </c>
      <c r="R36">
        <v>53.75</v>
      </c>
      <c r="CC36" t="s">
        <v>345</v>
      </c>
    </row>
    <row r="37" spans="1:81" x14ac:dyDescent="0.25">
      <c r="A37" t="s">
        <v>0</v>
      </c>
      <c r="B37" t="s">
        <v>293</v>
      </c>
      <c r="C37" t="s">
        <v>2</v>
      </c>
      <c r="D37" t="s">
        <v>226</v>
      </c>
      <c r="E37" t="s">
        <v>205</v>
      </c>
      <c r="F37" t="s">
        <v>206</v>
      </c>
      <c r="G37">
        <v>5</v>
      </c>
      <c r="H37">
        <v>516.37</v>
      </c>
      <c r="I37" s="1">
        <v>12.91</v>
      </c>
      <c r="J37">
        <v>12.91</v>
      </c>
      <c r="O37">
        <v>516.37</v>
      </c>
      <c r="P37">
        <v>0</v>
      </c>
      <c r="Q37">
        <v>12.91</v>
      </c>
      <c r="R37">
        <v>12.91</v>
      </c>
      <c r="CC37" t="s">
        <v>346</v>
      </c>
    </row>
    <row r="38" spans="1:81" x14ac:dyDescent="0.25">
      <c r="A38" t="s">
        <v>0</v>
      </c>
      <c r="B38" t="s">
        <v>293</v>
      </c>
      <c r="C38" t="s">
        <v>5</v>
      </c>
      <c r="D38" t="s">
        <v>243</v>
      </c>
      <c r="E38" t="s">
        <v>205</v>
      </c>
      <c r="F38" t="s">
        <v>206</v>
      </c>
      <c r="G38">
        <v>5</v>
      </c>
      <c r="H38">
        <v>718.51</v>
      </c>
      <c r="I38" s="1">
        <v>17.96</v>
      </c>
      <c r="J38">
        <v>17.96</v>
      </c>
      <c r="O38">
        <v>718.51</v>
      </c>
      <c r="P38">
        <v>0</v>
      </c>
      <c r="Q38">
        <v>17.96</v>
      </c>
      <c r="R38">
        <v>17.96</v>
      </c>
      <c r="CC38" t="s">
        <v>347</v>
      </c>
    </row>
    <row r="39" spans="1:81" x14ac:dyDescent="0.25">
      <c r="A39" t="s">
        <v>0</v>
      </c>
      <c r="B39" t="s">
        <v>293</v>
      </c>
      <c r="C39" t="s">
        <v>7</v>
      </c>
      <c r="D39" t="s">
        <v>244</v>
      </c>
      <c r="E39" t="s">
        <v>205</v>
      </c>
      <c r="F39" t="s">
        <v>206</v>
      </c>
      <c r="G39">
        <v>5</v>
      </c>
      <c r="H39">
        <v>309.72000000000003</v>
      </c>
      <c r="I39" s="1">
        <v>7.74</v>
      </c>
      <c r="J39">
        <v>7.74</v>
      </c>
      <c r="O39">
        <v>309.72000000000003</v>
      </c>
      <c r="P39">
        <v>0</v>
      </c>
      <c r="Q39">
        <v>7.74</v>
      </c>
      <c r="R39">
        <v>7.74</v>
      </c>
      <c r="CC39" t="s">
        <v>348</v>
      </c>
    </row>
    <row r="40" spans="1:81" x14ac:dyDescent="0.25">
      <c r="A40" t="s">
        <v>0</v>
      </c>
      <c r="B40" t="s">
        <v>293</v>
      </c>
      <c r="C40" t="s">
        <v>9</v>
      </c>
      <c r="D40" t="s">
        <v>245</v>
      </c>
      <c r="E40" t="s">
        <v>205</v>
      </c>
      <c r="F40" t="s">
        <v>206</v>
      </c>
      <c r="G40">
        <v>5</v>
      </c>
      <c r="H40">
        <v>718.73</v>
      </c>
      <c r="I40" s="1">
        <v>17.97</v>
      </c>
      <c r="J40">
        <v>17.97</v>
      </c>
      <c r="O40">
        <v>718.73</v>
      </c>
      <c r="P40">
        <v>0</v>
      </c>
      <c r="Q40">
        <v>17.97</v>
      </c>
      <c r="R40">
        <v>17.97</v>
      </c>
      <c r="CC40" t="s">
        <v>349</v>
      </c>
    </row>
    <row r="41" spans="1:81" x14ac:dyDescent="0.25">
      <c r="A41" t="s">
        <v>47</v>
      </c>
      <c r="B41" t="s">
        <v>294</v>
      </c>
      <c r="C41" t="s">
        <v>49</v>
      </c>
      <c r="D41" t="s">
        <v>223</v>
      </c>
      <c r="E41" t="s">
        <v>205</v>
      </c>
      <c r="F41" t="s">
        <v>206</v>
      </c>
      <c r="G41">
        <v>5</v>
      </c>
      <c r="H41">
        <v>999.99</v>
      </c>
      <c r="I41" s="1">
        <v>25</v>
      </c>
      <c r="J41">
        <v>25</v>
      </c>
      <c r="O41">
        <v>999.99</v>
      </c>
      <c r="P41">
        <v>0</v>
      </c>
      <c r="Q41">
        <v>25</v>
      </c>
      <c r="R41">
        <v>25</v>
      </c>
      <c r="CC41" t="s">
        <v>335</v>
      </c>
    </row>
    <row r="42" spans="1:81" x14ac:dyDescent="0.25">
      <c r="A42" t="s">
        <v>47</v>
      </c>
      <c r="B42" t="s">
        <v>294</v>
      </c>
      <c r="C42" t="s">
        <v>49</v>
      </c>
      <c r="D42" t="s">
        <v>223</v>
      </c>
      <c r="E42" t="s">
        <v>205</v>
      </c>
      <c r="F42" t="s">
        <v>206</v>
      </c>
      <c r="G42">
        <v>18</v>
      </c>
      <c r="I42" s="1"/>
      <c r="K42">
        <v>527.12</v>
      </c>
      <c r="L42">
        <v>47.43</v>
      </c>
      <c r="M42">
        <v>47.43</v>
      </c>
      <c r="O42">
        <v>527.12</v>
      </c>
      <c r="P42">
        <v>0</v>
      </c>
      <c r="Q42">
        <v>47.43</v>
      </c>
      <c r="R42">
        <v>47.43</v>
      </c>
      <c r="CC42" t="s">
        <v>350</v>
      </c>
    </row>
    <row r="43" spans="1:81" x14ac:dyDescent="0.25">
      <c r="A43" t="s">
        <v>47</v>
      </c>
      <c r="B43" t="s">
        <v>294</v>
      </c>
      <c r="C43" t="s">
        <v>51</v>
      </c>
      <c r="D43" t="s">
        <v>244</v>
      </c>
      <c r="E43" t="s">
        <v>205</v>
      </c>
      <c r="F43" t="s">
        <v>206</v>
      </c>
      <c r="G43">
        <v>5</v>
      </c>
      <c r="H43">
        <v>1022.35</v>
      </c>
      <c r="I43" s="1">
        <v>25.56</v>
      </c>
      <c r="J43">
        <v>25.56</v>
      </c>
      <c r="O43">
        <v>1022.35</v>
      </c>
      <c r="P43">
        <v>0</v>
      </c>
      <c r="Q43">
        <v>25.56</v>
      </c>
      <c r="R43">
        <v>25.56</v>
      </c>
      <c r="CC43" t="s">
        <v>335</v>
      </c>
    </row>
    <row r="44" spans="1:81" x14ac:dyDescent="0.25">
      <c r="A44" t="s">
        <v>47</v>
      </c>
      <c r="B44" t="s">
        <v>294</v>
      </c>
      <c r="C44" t="s">
        <v>51</v>
      </c>
      <c r="D44" t="s">
        <v>244</v>
      </c>
      <c r="E44" t="s">
        <v>205</v>
      </c>
      <c r="F44" t="s">
        <v>206</v>
      </c>
      <c r="G44">
        <v>18</v>
      </c>
      <c r="I44" s="1"/>
      <c r="K44">
        <v>162.72</v>
      </c>
      <c r="L44">
        <v>14.64</v>
      </c>
      <c r="M44">
        <v>14.64</v>
      </c>
      <c r="O44">
        <v>162.72</v>
      </c>
      <c r="P44">
        <v>0</v>
      </c>
      <c r="Q44">
        <v>14.64</v>
      </c>
      <c r="R44">
        <v>14.64</v>
      </c>
      <c r="CC44" t="s">
        <v>351</v>
      </c>
    </row>
    <row r="45" spans="1:81" x14ac:dyDescent="0.25">
      <c r="A45" t="s">
        <v>247</v>
      </c>
      <c r="B45" t="s">
        <v>314</v>
      </c>
      <c r="C45" t="s">
        <v>249</v>
      </c>
      <c r="D45" t="s">
        <v>226</v>
      </c>
      <c r="E45" t="s">
        <v>205</v>
      </c>
      <c r="F45" t="s">
        <v>206</v>
      </c>
      <c r="G45">
        <v>5</v>
      </c>
      <c r="H45">
        <v>4142.43</v>
      </c>
      <c r="I45" s="1">
        <v>103.56</v>
      </c>
      <c r="J45">
        <v>103.56</v>
      </c>
      <c r="O45">
        <v>4142.43</v>
      </c>
      <c r="P45">
        <v>0</v>
      </c>
      <c r="Q45">
        <v>103.56</v>
      </c>
      <c r="R45">
        <v>103.56</v>
      </c>
      <c r="CC45" t="s">
        <v>352</v>
      </c>
    </row>
    <row r="46" spans="1:81" x14ac:dyDescent="0.25">
      <c r="A46" t="s">
        <v>98</v>
      </c>
      <c r="B46" t="s">
        <v>99</v>
      </c>
      <c r="C46" t="s">
        <v>100</v>
      </c>
      <c r="D46" t="s">
        <v>224</v>
      </c>
      <c r="E46" t="s">
        <v>205</v>
      </c>
      <c r="F46" t="s">
        <v>206</v>
      </c>
      <c r="G46">
        <v>5</v>
      </c>
      <c r="H46">
        <v>5708.52</v>
      </c>
      <c r="I46" s="1">
        <v>142.71</v>
      </c>
      <c r="J46">
        <v>142.71</v>
      </c>
      <c r="O46">
        <v>5708.52</v>
      </c>
      <c r="P46">
        <v>0</v>
      </c>
      <c r="Q46">
        <v>142.71</v>
      </c>
      <c r="R46">
        <v>142.71</v>
      </c>
      <c r="CC46" t="s">
        <v>353</v>
      </c>
    </row>
    <row r="47" spans="1:81" x14ac:dyDescent="0.25">
      <c r="A47" t="s">
        <v>98</v>
      </c>
      <c r="B47" t="s">
        <v>99</v>
      </c>
      <c r="C47" t="s">
        <v>101</v>
      </c>
      <c r="D47" t="s">
        <v>245</v>
      </c>
      <c r="E47" t="s">
        <v>205</v>
      </c>
      <c r="F47" t="s">
        <v>206</v>
      </c>
      <c r="G47">
        <v>5</v>
      </c>
      <c r="H47">
        <v>5047.62</v>
      </c>
      <c r="I47" s="1">
        <v>126.19</v>
      </c>
      <c r="J47">
        <v>126.19</v>
      </c>
      <c r="O47">
        <v>5047.62</v>
      </c>
      <c r="P47">
        <v>0</v>
      </c>
      <c r="Q47">
        <v>126.19</v>
      </c>
      <c r="R47">
        <v>126.19</v>
      </c>
      <c r="CC47" t="s">
        <v>354</v>
      </c>
    </row>
    <row r="48" spans="1:81" x14ac:dyDescent="0.25">
      <c r="A48" t="s">
        <v>177</v>
      </c>
      <c r="B48" t="s">
        <v>295</v>
      </c>
      <c r="C48" t="s">
        <v>179</v>
      </c>
      <c r="D48" t="s">
        <v>231</v>
      </c>
      <c r="E48" t="s">
        <v>205</v>
      </c>
      <c r="F48" t="s">
        <v>206</v>
      </c>
      <c r="G48">
        <v>18</v>
      </c>
      <c r="I48" s="1"/>
      <c r="K48">
        <v>763.14</v>
      </c>
      <c r="L48">
        <v>68.69</v>
      </c>
      <c r="M48">
        <v>68.69</v>
      </c>
      <c r="O48">
        <v>763.14</v>
      </c>
      <c r="P48">
        <v>0</v>
      </c>
      <c r="Q48">
        <v>68.69</v>
      </c>
      <c r="R48">
        <v>68.69</v>
      </c>
      <c r="CC48" t="s">
        <v>355</v>
      </c>
    </row>
    <row r="49" spans="1:81" x14ac:dyDescent="0.25">
      <c r="A49" t="s">
        <v>177</v>
      </c>
      <c r="B49" t="s">
        <v>295</v>
      </c>
      <c r="C49" t="s">
        <v>180</v>
      </c>
      <c r="D49" t="s">
        <v>252</v>
      </c>
      <c r="E49" t="s">
        <v>205</v>
      </c>
      <c r="F49" t="s">
        <v>206</v>
      </c>
      <c r="G49">
        <v>5</v>
      </c>
      <c r="H49">
        <v>1757.57</v>
      </c>
      <c r="I49" s="1">
        <v>43.94</v>
      </c>
      <c r="J49">
        <v>43.94</v>
      </c>
      <c r="O49">
        <v>1757.57</v>
      </c>
      <c r="P49">
        <v>0</v>
      </c>
      <c r="Q49">
        <v>43.94</v>
      </c>
      <c r="R49">
        <v>43.94</v>
      </c>
      <c r="CC49" t="s">
        <v>335</v>
      </c>
    </row>
    <row r="50" spans="1:81" x14ac:dyDescent="0.25">
      <c r="A50" t="s">
        <v>177</v>
      </c>
      <c r="B50" t="s">
        <v>295</v>
      </c>
      <c r="C50" t="s">
        <v>180</v>
      </c>
      <c r="D50" t="s">
        <v>252</v>
      </c>
      <c r="E50" t="s">
        <v>205</v>
      </c>
      <c r="F50" t="s">
        <v>206</v>
      </c>
      <c r="G50">
        <v>18</v>
      </c>
      <c r="I50" s="1"/>
      <c r="K50">
        <v>219.64</v>
      </c>
      <c r="L50">
        <v>19.77</v>
      </c>
      <c r="M50">
        <v>19.77</v>
      </c>
      <c r="O50">
        <v>219.64</v>
      </c>
      <c r="P50">
        <v>0</v>
      </c>
      <c r="Q50">
        <v>19.77</v>
      </c>
      <c r="R50">
        <v>19.77</v>
      </c>
      <c r="CC50" t="s">
        <v>356</v>
      </c>
    </row>
    <row r="51" spans="1:81" x14ac:dyDescent="0.25">
      <c r="A51" t="s">
        <v>177</v>
      </c>
      <c r="B51" t="s">
        <v>295</v>
      </c>
      <c r="C51" t="s">
        <v>181</v>
      </c>
      <c r="D51" t="s">
        <v>226</v>
      </c>
      <c r="E51" t="s">
        <v>205</v>
      </c>
      <c r="F51" t="s">
        <v>206</v>
      </c>
      <c r="G51">
        <v>5</v>
      </c>
      <c r="H51">
        <v>1818.43</v>
      </c>
      <c r="I51" s="1">
        <v>45.45</v>
      </c>
      <c r="J51">
        <v>45.45</v>
      </c>
      <c r="O51">
        <v>1818.43</v>
      </c>
      <c r="P51">
        <v>0</v>
      </c>
      <c r="Q51">
        <v>45.45</v>
      </c>
      <c r="R51">
        <v>45.45</v>
      </c>
      <c r="CC51" t="s">
        <v>357</v>
      </c>
    </row>
    <row r="52" spans="1:81" x14ac:dyDescent="0.25">
      <c r="A52" t="s">
        <v>177</v>
      </c>
      <c r="B52" t="s">
        <v>295</v>
      </c>
      <c r="C52" t="s">
        <v>182</v>
      </c>
      <c r="D52" t="s">
        <v>243</v>
      </c>
      <c r="E52" t="s">
        <v>205</v>
      </c>
      <c r="F52" t="s">
        <v>206</v>
      </c>
      <c r="G52">
        <v>5</v>
      </c>
      <c r="H52">
        <v>3436.55</v>
      </c>
      <c r="I52" s="1">
        <v>85.92</v>
      </c>
      <c r="J52">
        <v>85.92</v>
      </c>
      <c r="O52">
        <v>3436.55</v>
      </c>
      <c r="P52">
        <v>0</v>
      </c>
      <c r="Q52">
        <v>85.92</v>
      </c>
      <c r="R52">
        <v>85.92</v>
      </c>
      <c r="CC52" t="s">
        <v>358</v>
      </c>
    </row>
    <row r="53" spans="1:81" x14ac:dyDescent="0.25">
      <c r="A53" t="s">
        <v>177</v>
      </c>
      <c r="B53" t="s">
        <v>295</v>
      </c>
      <c r="C53" t="s">
        <v>183</v>
      </c>
      <c r="D53" t="s">
        <v>245</v>
      </c>
      <c r="E53" t="s">
        <v>205</v>
      </c>
      <c r="F53" t="s">
        <v>206</v>
      </c>
      <c r="G53">
        <v>5</v>
      </c>
      <c r="H53">
        <v>1481.55</v>
      </c>
      <c r="I53" s="1">
        <v>37.03</v>
      </c>
      <c r="J53">
        <v>37.03</v>
      </c>
      <c r="O53">
        <v>1481.55</v>
      </c>
      <c r="P53">
        <v>0</v>
      </c>
      <c r="Q53">
        <v>37.03</v>
      </c>
      <c r="R53">
        <v>37.03</v>
      </c>
      <c r="CC53" t="s">
        <v>359</v>
      </c>
    </row>
    <row r="54" spans="1:81" x14ac:dyDescent="0.25">
      <c r="A54" t="s">
        <v>35</v>
      </c>
      <c r="B54" t="s">
        <v>296</v>
      </c>
      <c r="C54" t="s">
        <v>37</v>
      </c>
      <c r="D54" t="s">
        <v>226</v>
      </c>
      <c r="E54" t="s">
        <v>205</v>
      </c>
      <c r="F54" t="s">
        <v>206</v>
      </c>
      <c r="G54">
        <v>5</v>
      </c>
      <c r="H54">
        <v>772.06</v>
      </c>
      <c r="I54" s="1">
        <v>19.3</v>
      </c>
      <c r="J54">
        <v>19.3</v>
      </c>
      <c r="O54">
        <v>772.06</v>
      </c>
      <c r="P54">
        <v>0</v>
      </c>
      <c r="Q54">
        <v>19.3</v>
      </c>
      <c r="R54">
        <v>19.3</v>
      </c>
      <c r="CC54" t="s">
        <v>360</v>
      </c>
    </row>
    <row r="55" spans="1:81" x14ac:dyDescent="0.25">
      <c r="A55" t="s">
        <v>35</v>
      </c>
      <c r="B55" t="s">
        <v>296</v>
      </c>
      <c r="C55" t="s">
        <v>38</v>
      </c>
      <c r="D55" t="s">
        <v>243</v>
      </c>
      <c r="E55" t="s">
        <v>205</v>
      </c>
      <c r="F55" t="s">
        <v>206</v>
      </c>
      <c r="G55">
        <v>5</v>
      </c>
      <c r="H55">
        <v>772.06</v>
      </c>
      <c r="I55" s="1">
        <v>19.3</v>
      </c>
      <c r="J55">
        <v>19.3</v>
      </c>
      <c r="O55">
        <v>772.06</v>
      </c>
      <c r="P55">
        <v>0</v>
      </c>
      <c r="Q55">
        <v>19.3</v>
      </c>
      <c r="R55">
        <v>19.3</v>
      </c>
      <c r="CC55" t="s">
        <v>361</v>
      </c>
    </row>
    <row r="56" spans="1:81" x14ac:dyDescent="0.25">
      <c r="A56" t="s">
        <v>35</v>
      </c>
      <c r="B56" t="s">
        <v>296</v>
      </c>
      <c r="C56" t="s">
        <v>39</v>
      </c>
      <c r="D56" t="s">
        <v>224</v>
      </c>
      <c r="E56" t="s">
        <v>205</v>
      </c>
      <c r="F56" t="s">
        <v>206</v>
      </c>
      <c r="G56">
        <v>5</v>
      </c>
      <c r="H56">
        <v>5777.58</v>
      </c>
      <c r="I56" s="1">
        <v>144.44</v>
      </c>
      <c r="J56">
        <v>144.44</v>
      </c>
      <c r="O56">
        <v>5777.58</v>
      </c>
      <c r="P56">
        <v>0</v>
      </c>
      <c r="Q56">
        <v>144.44</v>
      </c>
      <c r="R56">
        <v>144.44</v>
      </c>
      <c r="CC56" t="s">
        <v>362</v>
      </c>
    </row>
    <row r="57" spans="1:81" x14ac:dyDescent="0.25">
      <c r="A57" t="s">
        <v>35</v>
      </c>
      <c r="B57" t="s">
        <v>296</v>
      </c>
      <c r="C57" t="s">
        <v>40</v>
      </c>
      <c r="D57" t="s">
        <v>209</v>
      </c>
      <c r="E57" t="s">
        <v>205</v>
      </c>
      <c r="F57" t="s">
        <v>206</v>
      </c>
      <c r="G57">
        <v>5</v>
      </c>
      <c r="H57">
        <v>8352.41</v>
      </c>
      <c r="I57" s="1">
        <v>208.81</v>
      </c>
      <c r="J57">
        <v>208.81</v>
      </c>
      <c r="O57">
        <v>8352.41</v>
      </c>
      <c r="P57">
        <v>0</v>
      </c>
      <c r="Q57">
        <v>208.81</v>
      </c>
      <c r="R57">
        <v>208.81</v>
      </c>
      <c r="CC57" t="s">
        <v>363</v>
      </c>
    </row>
    <row r="58" spans="1:81" x14ac:dyDescent="0.25">
      <c r="A58" t="s">
        <v>95</v>
      </c>
      <c r="B58" t="s">
        <v>297</v>
      </c>
      <c r="C58" t="s">
        <v>97</v>
      </c>
      <c r="D58" t="s">
        <v>231</v>
      </c>
      <c r="E58" t="s">
        <v>205</v>
      </c>
      <c r="F58" t="s">
        <v>206</v>
      </c>
      <c r="G58">
        <v>5</v>
      </c>
      <c r="H58">
        <v>24057</v>
      </c>
      <c r="I58" s="1">
        <v>601.42999999999995</v>
      </c>
      <c r="J58">
        <v>601.42999999999995</v>
      </c>
      <c r="O58">
        <v>24057</v>
      </c>
      <c r="P58">
        <v>0</v>
      </c>
      <c r="Q58">
        <v>601.42999999999995</v>
      </c>
      <c r="R58">
        <v>601.42999999999995</v>
      </c>
      <c r="CC58" t="s">
        <v>364</v>
      </c>
    </row>
    <row r="59" spans="1:81" x14ac:dyDescent="0.25">
      <c r="A59" t="s">
        <v>134</v>
      </c>
      <c r="B59" t="s">
        <v>135</v>
      </c>
      <c r="C59" t="s">
        <v>136</v>
      </c>
      <c r="D59" t="s">
        <v>217</v>
      </c>
      <c r="E59" t="s">
        <v>205</v>
      </c>
      <c r="F59" t="s">
        <v>206</v>
      </c>
      <c r="G59">
        <v>5</v>
      </c>
      <c r="H59">
        <v>1257.3599999999999</v>
      </c>
      <c r="I59" s="1">
        <v>31.43</v>
      </c>
      <c r="J59">
        <v>31.43</v>
      </c>
      <c r="O59">
        <v>1257.3599999999999</v>
      </c>
      <c r="P59">
        <v>0</v>
      </c>
      <c r="Q59">
        <v>31.43</v>
      </c>
      <c r="R59">
        <v>31.43</v>
      </c>
      <c r="CC59" t="s">
        <v>365</v>
      </c>
    </row>
    <row r="60" spans="1:81" x14ac:dyDescent="0.25">
      <c r="A60" t="s">
        <v>134</v>
      </c>
      <c r="B60" t="s">
        <v>135</v>
      </c>
      <c r="C60" t="s">
        <v>137</v>
      </c>
      <c r="D60" t="s">
        <v>239</v>
      </c>
      <c r="E60" t="s">
        <v>205</v>
      </c>
      <c r="F60" t="s">
        <v>206</v>
      </c>
      <c r="G60">
        <v>5</v>
      </c>
      <c r="H60">
        <v>952.56</v>
      </c>
      <c r="I60" s="1">
        <v>23.81</v>
      </c>
      <c r="J60">
        <v>23.81</v>
      </c>
      <c r="O60">
        <v>952.56</v>
      </c>
      <c r="P60">
        <v>0</v>
      </c>
      <c r="Q60">
        <v>23.81</v>
      </c>
      <c r="R60">
        <v>23.81</v>
      </c>
      <c r="CC60" t="s">
        <v>366</v>
      </c>
    </row>
    <row r="61" spans="1:81" x14ac:dyDescent="0.25">
      <c r="A61" t="s">
        <v>116</v>
      </c>
      <c r="B61" t="s">
        <v>298</v>
      </c>
      <c r="C61" t="s">
        <v>118</v>
      </c>
      <c r="D61" t="s">
        <v>256</v>
      </c>
      <c r="E61" t="s">
        <v>205</v>
      </c>
      <c r="F61" t="s">
        <v>206</v>
      </c>
      <c r="G61">
        <v>5</v>
      </c>
      <c r="H61">
        <v>398.96</v>
      </c>
      <c r="I61" s="1">
        <v>9.98</v>
      </c>
      <c r="J61">
        <v>9.98</v>
      </c>
      <c r="O61">
        <v>398.96</v>
      </c>
      <c r="P61">
        <v>0</v>
      </c>
      <c r="Q61">
        <v>9.98</v>
      </c>
      <c r="R61">
        <v>9.98</v>
      </c>
      <c r="CC61" t="s">
        <v>367</v>
      </c>
    </row>
    <row r="62" spans="1:81" x14ac:dyDescent="0.25">
      <c r="A62" t="s">
        <v>116</v>
      </c>
      <c r="B62" t="s">
        <v>298</v>
      </c>
      <c r="C62" t="s">
        <v>119</v>
      </c>
      <c r="D62" t="s">
        <v>257</v>
      </c>
      <c r="E62" t="s">
        <v>205</v>
      </c>
      <c r="F62" t="s">
        <v>206</v>
      </c>
      <c r="G62">
        <v>5</v>
      </c>
      <c r="H62">
        <v>750.86</v>
      </c>
      <c r="I62" s="1">
        <v>18.77</v>
      </c>
      <c r="J62">
        <v>18.77</v>
      </c>
      <c r="O62">
        <v>750.86</v>
      </c>
      <c r="P62">
        <v>0</v>
      </c>
      <c r="Q62">
        <v>18.77</v>
      </c>
      <c r="R62">
        <v>18.77</v>
      </c>
      <c r="CC62" t="s">
        <v>368</v>
      </c>
    </row>
    <row r="63" spans="1:81" x14ac:dyDescent="0.25">
      <c r="A63" t="s">
        <v>116</v>
      </c>
      <c r="B63" t="s">
        <v>298</v>
      </c>
      <c r="C63" t="s">
        <v>121</v>
      </c>
      <c r="D63" t="s">
        <v>258</v>
      </c>
      <c r="E63" t="s">
        <v>205</v>
      </c>
      <c r="F63" t="s">
        <v>206</v>
      </c>
      <c r="G63">
        <v>5</v>
      </c>
      <c r="H63">
        <v>1163.33</v>
      </c>
      <c r="I63" s="1">
        <v>29.08</v>
      </c>
      <c r="J63">
        <v>29.08</v>
      </c>
      <c r="O63">
        <v>1163.33</v>
      </c>
      <c r="P63">
        <v>0</v>
      </c>
      <c r="Q63">
        <v>29.08</v>
      </c>
      <c r="R63">
        <v>29.08</v>
      </c>
      <c r="CC63" t="s">
        <v>369</v>
      </c>
    </row>
    <row r="64" spans="1:81" x14ac:dyDescent="0.25">
      <c r="A64" t="s">
        <v>160</v>
      </c>
      <c r="B64" t="s">
        <v>299</v>
      </c>
      <c r="C64" t="s">
        <v>162</v>
      </c>
      <c r="D64" t="s">
        <v>244</v>
      </c>
      <c r="E64" t="s">
        <v>205</v>
      </c>
      <c r="F64" t="s">
        <v>206</v>
      </c>
      <c r="G64">
        <v>5</v>
      </c>
      <c r="H64">
        <v>1134.28</v>
      </c>
      <c r="I64" s="1">
        <v>28.36</v>
      </c>
      <c r="J64">
        <v>28.36</v>
      </c>
      <c r="O64">
        <v>1134.28</v>
      </c>
      <c r="P64">
        <v>0</v>
      </c>
      <c r="Q64">
        <v>28.36</v>
      </c>
      <c r="R64">
        <v>28.36</v>
      </c>
      <c r="CC64" t="s">
        <v>370</v>
      </c>
    </row>
    <row r="65" spans="1:81" x14ac:dyDescent="0.25">
      <c r="A65" t="s">
        <v>32</v>
      </c>
      <c r="B65" t="s">
        <v>33</v>
      </c>
      <c r="C65" t="s">
        <v>34</v>
      </c>
      <c r="D65" t="s">
        <v>260</v>
      </c>
      <c r="E65" t="s">
        <v>205</v>
      </c>
      <c r="F65" t="s">
        <v>206</v>
      </c>
      <c r="G65">
        <v>5</v>
      </c>
      <c r="H65">
        <v>914.28</v>
      </c>
      <c r="I65" s="1">
        <v>22.86</v>
      </c>
      <c r="J65">
        <v>22.86</v>
      </c>
      <c r="O65">
        <v>914.28</v>
      </c>
      <c r="P65">
        <v>0</v>
      </c>
      <c r="Q65">
        <v>22.86</v>
      </c>
      <c r="R65">
        <v>22.86</v>
      </c>
      <c r="CC65" t="s">
        <v>371</v>
      </c>
    </row>
    <row r="66" spans="1:81" x14ac:dyDescent="0.25">
      <c r="A66" t="s">
        <v>147</v>
      </c>
      <c r="B66" t="s">
        <v>309</v>
      </c>
      <c r="C66" t="s">
        <v>149</v>
      </c>
      <c r="D66" t="s">
        <v>258</v>
      </c>
      <c r="E66" t="s">
        <v>205</v>
      </c>
      <c r="F66" t="s">
        <v>206</v>
      </c>
      <c r="G66">
        <v>5</v>
      </c>
      <c r="H66">
        <v>18399.98</v>
      </c>
      <c r="I66" s="1">
        <v>460</v>
      </c>
      <c r="J66">
        <v>460</v>
      </c>
      <c r="O66">
        <v>18399.98</v>
      </c>
      <c r="P66">
        <v>0</v>
      </c>
      <c r="Q66">
        <v>460</v>
      </c>
      <c r="R66">
        <v>460</v>
      </c>
      <c r="CC66" t="s">
        <v>372</v>
      </c>
    </row>
    <row r="67" spans="1:81" x14ac:dyDescent="0.25">
      <c r="A67" t="s">
        <v>85</v>
      </c>
      <c r="B67" t="s">
        <v>300</v>
      </c>
      <c r="C67" t="s">
        <v>87</v>
      </c>
      <c r="D67" t="s">
        <v>258</v>
      </c>
      <c r="E67" t="s">
        <v>205</v>
      </c>
      <c r="F67" t="s">
        <v>206</v>
      </c>
      <c r="G67">
        <v>5</v>
      </c>
      <c r="H67">
        <v>6048</v>
      </c>
      <c r="I67" s="1">
        <v>151.19999999999999</v>
      </c>
      <c r="J67">
        <v>151.19999999999999</v>
      </c>
      <c r="O67">
        <v>6048</v>
      </c>
      <c r="P67">
        <v>0</v>
      </c>
      <c r="Q67">
        <v>151.19999999999999</v>
      </c>
      <c r="R67">
        <v>151.19999999999999</v>
      </c>
      <c r="CC67" t="s">
        <v>373</v>
      </c>
    </row>
    <row r="68" spans="1:81" x14ac:dyDescent="0.25">
      <c r="A68" t="s">
        <v>26</v>
      </c>
      <c r="B68" t="s">
        <v>301</v>
      </c>
      <c r="C68" t="s">
        <v>28</v>
      </c>
      <c r="D68" t="s">
        <v>224</v>
      </c>
      <c r="E68" t="s">
        <v>205</v>
      </c>
      <c r="F68" t="s">
        <v>206</v>
      </c>
      <c r="G68">
        <v>5</v>
      </c>
      <c r="H68">
        <v>806.34</v>
      </c>
      <c r="I68" s="1">
        <v>20.16</v>
      </c>
      <c r="J68">
        <v>20.16</v>
      </c>
      <c r="O68">
        <v>806.34</v>
      </c>
      <c r="P68">
        <v>0</v>
      </c>
      <c r="Q68">
        <v>20.16</v>
      </c>
      <c r="R68">
        <v>20.16</v>
      </c>
      <c r="CC68" t="s">
        <v>374</v>
      </c>
    </row>
    <row r="69" spans="1:81" x14ac:dyDescent="0.25">
      <c r="A69" t="s">
        <v>26</v>
      </c>
      <c r="B69" t="s">
        <v>301</v>
      </c>
      <c r="C69" t="s">
        <v>30</v>
      </c>
      <c r="D69" t="s">
        <v>209</v>
      </c>
      <c r="E69" t="s">
        <v>205</v>
      </c>
      <c r="F69" t="s">
        <v>206</v>
      </c>
      <c r="G69">
        <v>5</v>
      </c>
      <c r="H69">
        <v>18591.3</v>
      </c>
      <c r="I69" s="1">
        <v>464.78</v>
      </c>
      <c r="J69">
        <v>464.78</v>
      </c>
      <c r="O69">
        <v>18591.3</v>
      </c>
      <c r="P69">
        <v>0</v>
      </c>
      <c r="Q69">
        <v>464.78</v>
      </c>
      <c r="R69">
        <v>464.78</v>
      </c>
      <c r="CC69" t="s">
        <v>375</v>
      </c>
    </row>
    <row r="70" spans="1:81" x14ac:dyDescent="0.25">
      <c r="A70" t="s">
        <v>11</v>
      </c>
      <c r="B70" t="s">
        <v>302</v>
      </c>
      <c r="C70" t="s">
        <v>13</v>
      </c>
      <c r="D70" t="s">
        <v>217</v>
      </c>
      <c r="E70" t="s">
        <v>205</v>
      </c>
      <c r="F70" t="s">
        <v>206</v>
      </c>
      <c r="G70">
        <v>5</v>
      </c>
      <c r="H70">
        <v>896.19</v>
      </c>
      <c r="I70" s="1">
        <v>22.4</v>
      </c>
      <c r="J70">
        <v>22.4</v>
      </c>
      <c r="O70">
        <v>896.19</v>
      </c>
      <c r="P70">
        <v>0</v>
      </c>
      <c r="Q70">
        <v>22.4</v>
      </c>
      <c r="R70">
        <v>22.4</v>
      </c>
      <c r="CC70" t="s">
        <v>335</v>
      </c>
    </row>
    <row r="71" spans="1:81" x14ac:dyDescent="0.25">
      <c r="A71" t="s">
        <v>11</v>
      </c>
      <c r="B71" t="s">
        <v>302</v>
      </c>
      <c r="C71" t="s">
        <v>13</v>
      </c>
      <c r="D71" t="s">
        <v>217</v>
      </c>
      <c r="E71" t="s">
        <v>205</v>
      </c>
      <c r="F71" t="s">
        <v>206</v>
      </c>
      <c r="G71">
        <v>18</v>
      </c>
      <c r="I71" s="1"/>
      <c r="K71">
        <v>4365.29</v>
      </c>
      <c r="L71">
        <v>392.88</v>
      </c>
      <c r="M71">
        <v>392.88</v>
      </c>
      <c r="O71">
        <v>4365.29</v>
      </c>
      <c r="P71">
        <v>0</v>
      </c>
      <c r="Q71">
        <v>392.88</v>
      </c>
      <c r="R71">
        <v>392.88</v>
      </c>
      <c r="CC71" t="s">
        <v>376</v>
      </c>
    </row>
    <row r="72" spans="1:81" x14ac:dyDescent="0.25">
      <c r="A72" t="s">
        <v>11</v>
      </c>
      <c r="B72" t="s">
        <v>302</v>
      </c>
      <c r="C72" t="s">
        <v>15</v>
      </c>
      <c r="D72" t="s">
        <v>217</v>
      </c>
      <c r="E72" t="s">
        <v>205</v>
      </c>
      <c r="F72" t="s">
        <v>206</v>
      </c>
      <c r="G72">
        <v>5</v>
      </c>
      <c r="H72">
        <v>250.27</v>
      </c>
      <c r="I72" s="1">
        <v>6.26</v>
      </c>
      <c r="J72">
        <v>6.26</v>
      </c>
      <c r="O72">
        <v>250.27</v>
      </c>
      <c r="P72">
        <v>0</v>
      </c>
      <c r="Q72">
        <v>6.26</v>
      </c>
      <c r="R72">
        <v>6.26</v>
      </c>
      <c r="CC72" t="s">
        <v>335</v>
      </c>
    </row>
    <row r="73" spans="1:81" x14ac:dyDescent="0.25">
      <c r="A73" t="s">
        <v>11</v>
      </c>
      <c r="B73" t="s">
        <v>302</v>
      </c>
      <c r="C73" t="s">
        <v>15</v>
      </c>
      <c r="D73" t="s">
        <v>217</v>
      </c>
      <c r="E73" t="s">
        <v>205</v>
      </c>
      <c r="F73" t="s">
        <v>206</v>
      </c>
      <c r="G73">
        <v>18</v>
      </c>
      <c r="I73" s="1"/>
      <c r="K73">
        <v>85.02</v>
      </c>
      <c r="L73">
        <v>7.65</v>
      </c>
      <c r="M73">
        <v>7.65</v>
      </c>
      <c r="O73">
        <v>85.02</v>
      </c>
      <c r="P73">
        <v>0</v>
      </c>
      <c r="Q73">
        <v>7.65</v>
      </c>
      <c r="R73">
        <v>7.65</v>
      </c>
      <c r="CC73" t="s">
        <v>377</v>
      </c>
    </row>
    <row r="74" spans="1:81" x14ac:dyDescent="0.25">
      <c r="A74" t="s">
        <v>11</v>
      </c>
      <c r="B74" t="s">
        <v>302</v>
      </c>
      <c r="C74" t="s">
        <v>16</v>
      </c>
      <c r="D74" t="s">
        <v>260</v>
      </c>
      <c r="E74" t="s">
        <v>205</v>
      </c>
      <c r="F74" t="s">
        <v>206</v>
      </c>
      <c r="G74">
        <v>5</v>
      </c>
      <c r="H74">
        <v>867.33</v>
      </c>
      <c r="I74" s="1">
        <v>21.68</v>
      </c>
      <c r="J74">
        <v>21.68</v>
      </c>
      <c r="O74">
        <v>867.33</v>
      </c>
      <c r="P74">
        <v>0</v>
      </c>
      <c r="Q74">
        <v>21.68</v>
      </c>
      <c r="R74">
        <v>21.68</v>
      </c>
      <c r="CC74" t="s">
        <v>335</v>
      </c>
    </row>
    <row r="75" spans="1:81" x14ac:dyDescent="0.25">
      <c r="A75" t="s">
        <v>11</v>
      </c>
      <c r="B75" t="s">
        <v>302</v>
      </c>
      <c r="C75" t="s">
        <v>16</v>
      </c>
      <c r="D75" t="s">
        <v>260</v>
      </c>
      <c r="E75" t="s">
        <v>205</v>
      </c>
      <c r="F75" t="s">
        <v>206</v>
      </c>
      <c r="G75">
        <v>18</v>
      </c>
      <c r="I75" s="1"/>
      <c r="K75">
        <v>4244.4399999999996</v>
      </c>
      <c r="L75">
        <v>382</v>
      </c>
      <c r="M75">
        <v>382</v>
      </c>
      <c r="O75">
        <v>4244.4399999999996</v>
      </c>
      <c r="P75">
        <v>0</v>
      </c>
      <c r="Q75">
        <v>382</v>
      </c>
      <c r="R75">
        <v>382</v>
      </c>
      <c r="CC75" t="s">
        <v>378</v>
      </c>
    </row>
    <row r="76" spans="1:81" x14ac:dyDescent="0.25">
      <c r="A76" t="s">
        <v>11</v>
      </c>
      <c r="B76" t="s">
        <v>302</v>
      </c>
      <c r="C76" t="s">
        <v>18</v>
      </c>
      <c r="D76" t="s">
        <v>244</v>
      </c>
      <c r="E76" t="s">
        <v>205</v>
      </c>
      <c r="F76" t="s">
        <v>206</v>
      </c>
      <c r="G76">
        <v>5</v>
      </c>
      <c r="H76">
        <v>2298.67</v>
      </c>
      <c r="I76" s="1">
        <v>57.47</v>
      </c>
      <c r="J76">
        <v>57.47</v>
      </c>
      <c r="O76">
        <v>2298.67</v>
      </c>
      <c r="P76">
        <v>0</v>
      </c>
      <c r="Q76">
        <v>57.47</v>
      </c>
      <c r="R76">
        <v>57.47</v>
      </c>
      <c r="CC76" t="s">
        <v>335</v>
      </c>
    </row>
    <row r="77" spans="1:81" x14ac:dyDescent="0.25">
      <c r="A77" t="s">
        <v>11</v>
      </c>
      <c r="B77" t="s">
        <v>302</v>
      </c>
      <c r="C77" t="s">
        <v>18</v>
      </c>
      <c r="D77" t="s">
        <v>244</v>
      </c>
      <c r="E77" t="s">
        <v>205</v>
      </c>
      <c r="F77" t="s">
        <v>206</v>
      </c>
      <c r="G77">
        <v>18</v>
      </c>
      <c r="I77" s="1"/>
      <c r="K77">
        <v>3749.23</v>
      </c>
      <c r="L77">
        <v>337.43</v>
      </c>
      <c r="M77">
        <v>337.43</v>
      </c>
      <c r="O77">
        <v>3749.23</v>
      </c>
      <c r="P77">
        <v>0</v>
      </c>
      <c r="Q77">
        <v>337.43</v>
      </c>
      <c r="R77">
        <v>337.43</v>
      </c>
      <c r="CC77" t="s">
        <v>379</v>
      </c>
    </row>
    <row r="78" spans="1:81" x14ac:dyDescent="0.25">
      <c r="A78" t="s">
        <v>11</v>
      </c>
      <c r="B78" t="s">
        <v>302</v>
      </c>
      <c r="C78" t="s">
        <v>19</v>
      </c>
      <c r="D78" t="s">
        <v>244</v>
      </c>
      <c r="E78" t="s">
        <v>205</v>
      </c>
      <c r="F78" t="s">
        <v>206</v>
      </c>
      <c r="G78">
        <v>5</v>
      </c>
      <c r="H78">
        <v>148.69</v>
      </c>
      <c r="I78" s="1">
        <v>3.72</v>
      </c>
      <c r="J78">
        <v>3.72</v>
      </c>
      <c r="O78">
        <v>148.69</v>
      </c>
      <c r="P78">
        <v>0</v>
      </c>
      <c r="Q78">
        <v>3.72</v>
      </c>
      <c r="R78">
        <v>3.72</v>
      </c>
      <c r="CC78" t="s">
        <v>380</v>
      </c>
    </row>
    <row r="79" spans="1:81" x14ac:dyDescent="0.25">
      <c r="A79" t="s">
        <v>11</v>
      </c>
      <c r="B79" t="s">
        <v>302</v>
      </c>
      <c r="C79" t="s">
        <v>20</v>
      </c>
      <c r="D79" t="s">
        <v>239</v>
      </c>
      <c r="E79" t="s">
        <v>205</v>
      </c>
      <c r="F79" t="s">
        <v>206</v>
      </c>
      <c r="G79">
        <v>5</v>
      </c>
      <c r="H79">
        <v>80.180000000000007</v>
      </c>
      <c r="I79" s="1">
        <v>2</v>
      </c>
      <c r="J79">
        <v>2</v>
      </c>
      <c r="O79">
        <v>80.180000000000007</v>
      </c>
      <c r="P79">
        <v>0</v>
      </c>
      <c r="Q79">
        <v>2</v>
      </c>
      <c r="R79">
        <v>2</v>
      </c>
      <c r="CC79" t="s">
        <v>335</v>
      </c>
    </row>
    <row r="80" spans="1:81" x14ac:dyDescent="0.25">
      <c r="A80" t="s">
        <v>11</v>
      </c>
      <c r="B80" t="s">
        <v>302</v>
      </c>
      <c r="C80" t="s">
        <v>20</v>
      </c>
      <c r="D80" t="s">
        <v>239</v>
      </c>
      <c r="E80" t="s">
        <v>205</v>
      </c>
      <c r="F80" t="s">
        <v>206</v>
      </c>
      <c r="G80">
        <v>18</v>
      </c>
      <c r="I80" s="1"/>
      <c r="K80">
        <v>439.91</v>
      </c>
      <c r="L80">
        <v>39.590000000000003</v>
      </c>
      <c r="M80">
        <v>39.590000000000003</v>
      </c>
      <c r="O80">
        <v>439.91</v>
      </c>
      <c r="P80">
        <v>0</v>
      </c>
      <c r="Q80">
        <v>39.590000000000003</v>
      </c>
      <c r="R80">
        <v>39.590000000000003</v>
      </c>
      <c r="CC80" t="s">
        <v>381</v>
      </c>
    </row>
    <row r="81" spans="1:81" x14ac:dyDescent="0.25">
      <c r="A81" t="s">
        <v>11</v>
      </c>
      <c r="B81" t="s">
        <v>302</v>
      </c>
      <c r="C81" t="s">
        <v>22</v>
      </c>
      <c r="D81" t="s">
        <v>229</v>
      </c>
      <c r="E81" t="s">
        <v>205</v>
      </c>
      <c r="F81" t="s">
        <v>206</v>
      </c>
      <c r="G81">
        <v>5</v>
      </c>
      <c r="H81">
        <v>927.05</v>
      </c>
      <c r="I81" s="1">
        <v>23.18</v>
      </c>
      <c r="J81">
        <v>23.18</v>
      </c>
      <c r="O81">
        <v>927.05</v>
      </c>
      <c r="P81">
        <v>0</v>
      </c>
      <c r="Q81">
        <v>23.18</v>
      </c>
      <c r="R81">
        <v>23.18</v>
      </c>
      <c r="CC81" t="s">
        <v>335</v>
      </c>
    </row>
    <row r="82" spans="1:81" x14ac:dyDescent="0.25">
      <c r="A82" t="s">
        <v>11</v>
      </c>
      <c r="B82" t="s">
        <v>302</v>
      </c>
      <c r="C82" t="s">
        <v>22</v>
      </c>
      <c r="D82" t="s">
        <v>229</v>
      </c>
      <c r="E82" t="s">
        <v>205</v>
      </c>
      <c r="F82" t="s">
        <v>206</v>
      </c>
      <c r="G82">
        <v>18</v>
      </c>
      <c r="I82" s="1"/>
      <c r="K82">
        <v>209.74</v>
      </c>
      <c r="L82">
        <v>18.88</v>
      </c>
      <c r="M82">
        <v>18.88</v>
      </c>
      <c r="O82">
        <v>209.74</v>
      </c>
      <c r="P82">
        <v>0</v>
      </c>
      <c r="Q82">
        <v>18.88</v>
      </c>
      <c r="R82">
        <v>18.88</v>
      </c>
      <c r="CC82" t="s">
        <v>382</v>
      </c>
    </row>
    <row r="83" spans="1:81" x14ac:dyDescent="0.25">
      <c r="A83" t="s">
        <v>11</v>
      </c>
      <c r="B83" t="s">
        <v>302</v>
      </c>
      <c r="C83" t="s">
        <v>24</v>
      </c>
      <c r="D83" t="s">
        <v>258</v>
      </c>
      <c r="E83" t="s">
        <v>205</v>
      </c>
      <c r="F83" t="s">
        <v>206</v>
      </c>
      <c r="G83">
        <v>5</v>
      </c>
      <c r="H83">
        <v>617.77</v>
      </c>
      <c r="I83" s="1">
        <v>15.44</v>
      </c>
      <c r="J83">
        <v>15.44</v>
      </c>
      <c r="O83">
        <v>617.77</v>
      </c>
      <c r="P83">
        <v>0</v>
      </c>
      <c r="Q83">
        <v>15.44</v>
      </c>
      <c r="R83">
        <v>15.44</v>
      </c>
      <c r="CC83" t="s">
        <v>335</v>
      </c>
    </row>
    <row r="84" spans="1:81" x14ac:dyDescent="0.25">
      <c r="A84" t="s">
        <v>11</v>
      </c>
      <c r="B84" t="s">
        <v>302</v>
      </c>
      <c r="C84" t="s">
        <v>24</v>
      </c>
      <c r="D84" t="s">
        <v>258</v>
      </c>
      <c r="E84" t="s">
        <v>205</v>
      </c>
      <c r="F84" t="s">
        <v>206</v>
      </c>
      <c r="G84">
        <v>18</v>
      </c>
      <c r="I84" s="1"/>
      <c r="K84">
        <v>270.81</v>
      </c>
      <c r="L84">
        <v>24.37</v>
      </c>
      <c r="M84">
        <v>24.37</v>
      </c>
      <c r="O84">
        <v>270.81</v>
      </c>
      <c r="P84">
        <v>0</v>
      </c>
      <c r="Q84">
        <v>24.37</v>
      </c>
      <c r="R84">
        <v>24.37</v>
      </c>
      <c r="CC84" t="s">
        <v>383</v>
      </c>
    </row>
    <row r="85" spans="1:81" x14ac:dyDescent="0.25">
      <c r="A85" t="s">
        <v>88</v>
      </c>
      <c r="B85" t="s">
        <v>303</v>
      </c>
      <c r="C85" t="s">
        <v>90</v>
      </c>
      <c r="D85" t="s">
        <v>266</v>
      </c>
      <c r="E85" t="s">
        <v>205</v>
      </c>
      <c r="F85" t="s">
        <v>206</v>
      </c>
      <c r="G85">
        <v>5</v>
      </c>
      <c r="H85">
        <v>5417.18</v>
      </c>
      <c r="I85" s="1">
        <v>135.44</v>
      </c>
      <c r="J85">
        <v>135.44</v>
      </c>
      <c r="O85">
        <v>5417.18</v>
      </c>
      <c r="P85">
        <v>0</v>
      </c>
      <c r="Q85">
        <v>135.44</v>
      </c>
      <c r="R85">
        <v>135.44</v>
      </c>
      <c r="CC85" t="s">
        <v>384</v>
      </c>
    </row>
    <row r="86" spans="1:81" x14ac:dyDescent="0.25">
      <c r="A86" t="s">
        <v>92</v>
      </c>
      <c r="B86" t="s">
        <v>304</v>
      </c>
      <c r="C86" t="s">
        <v>94</v>
      </c>
      <c r="D86" t="s">
        <v>209</v>
      </c>
      <c r="E86" t="s">
        <v>205</v>
      </c>
      <c r="F86" t="s">
        <v>206</v>
      </c>
      <c r="G86">
        <v>0</v>
      </c>
      <c r="I86" s="1"/>
      <c r="N86">
        <v>2174</v>
      </c>
      <c r="O86">
        <v>2174</v>
      </c>
      <c r="P86">
        <v>0</v>
      </c>
      <c r="Q86">
        <v>0</v>
      </c>
      <c r="R86">
        <v>0</v>
      </c>
      <c r="CC86" t="s">
        <v>335</v>
      </c>
    </row>
    <row r="87" spans="1:81" x14ac:dyDescent="0.25">
      <c r="A87" t="s">
        <v>92</v>
      </c>
      <c r="B87" t="s">
        <v>304</v>
      </c>
      <c r="C87" t="s">
        <v>94</v>
      </c>
      <c r="D87" t="s">
        <v>209</v>
      </c>
      <c r="E87" t="s">
        <v>205</v>
      </c>
      <c r="F87" t="s">
        <v>206</v>
      </c>
      <c r="G87">
        <v>5</v>
      </c>
      <c r="H87">
        <v>23935.26</v>
      </c>
      <c r="I87" s="1">
        <v>598.38</v>
      </c>
      <c r="J87">
        <v>598.38</v>
      </c>
      <c r="O87">
        <v>23935.26</v>
      </c>
      <c r="P87">
        <v>0</v>
      </c>
      <c r="Q87">
        <v>598.38</v>
      </c>
      <c r="R87">
        <v>598.38</v>
      </c>
      <c r="CC87" t="s">
        <v>335</v>
      </c>
    </row>
    <row r="88" spans="1:81" x14ac:dyDescent="0.25">
      <c r="A88" t="s">
        <v>92</v>
      </c>
      <c r="B88" t="s">
        <v>304</v>
      </c>
      <c r="C88" t="s">
        <v>94</v>
      </c>
      <c r="D88" t="s">
        <v>209</v>
      </c>
      <c r="E88" t="s">
        <v>205</v>
      </c>
      <c r="F88" t="s">
        <v>206</v>
      </c>
      <c r="G88">
        <v>18</v>
      </c>
      <c r="I88" s="1"/>
      <c r="K88">
        <v>454.22</v>
      </c>
      <c r="L88">
        <v>40.880000000000003</v>
      </c>
      <c r="M88">
        <v>40.880000000000003</v>
      </c>
      <c r="O88">
        <v>454.22</v>
      </c>
      <c r="P88">
        <v>0</v>
      </c>
      <c r="Q88">
        <v>40.880000000000003</v>
      </c>
      <c r="R88">
        <v>40.880000000000003</v>
      </c>
      <c r="CC88" t="s">
        <v>385</v>
      </c>
    </row>
    <row r="89" spans="1:81" x14ac:dyDescent="0.25">
      <c r="A89" t="s">
        <v>58</v>
      </c>
      <c r="B89" t="s">
        <v>305</v>
      </c>
      <c r="C89" t="s">
        <v>138</v>
      </c>
      <c r="D89" t="s">
        <v>256</v>
      </c>
      <c r="E89" t="s">
        <v>205</v>
      </c>
      <c r="F89" t="s">
        <v>206</v>
      </c>
      <c r="G89">
        <v>5</v>
      </c>
      <c r="H89">
        <v>1828.56</v>
      </c>
      <c r="I89" s="1">
        <v>45.71</v>
      </c>
      <c r="J89">
        <v>45.71</v>
      </c>
      <c r="O89">
        <v>1828.56</v>
      </c>
      <c r="P89">
        <v>0</v>
      </c>
      <c r="Q89">
        <v>45.71</v>
      </c>
      <c r="R89">
        <v>45.71</v>
      </c>
      <c r="CC89" t="s">
        <v>386</v>
      </c>
    </row>
    <row r="90" spans="1:81" x14ac:dyDescent="0.25">
      <c r="A90" t="s">
        <v>58</v>
      </c>
      <c r="B90" t="s">
        <v>305</v>
      </c>
      <c r="C90" t="s">
        <v>139</v>
      </c>
      <c r="D90" t="s">
        <v>243</v>
      </c>
      <c r="E90" t="s">
        <v>205</v>
      </c>
      <c r="F90" t="s">
        <v>206</v>
      </c>
      <c r="G90">
        <v>5</v>
      </c>
      <c r="H90">
        <v>700.44</v>
      </c>
      <c r="I90" s="1">
        <v>17.510000000000002</v>
      </c>
      <c r="J90">
        <v>17.510000000000002</v>
      </c>
      <c r="O90">
        <v>700.44</v>
      </c>
      <c r="P90">
        <v>0</v>
      </c>
      <c r="Q90">
        <v>17.510000000000002</v>
      </c>
      <c r="R90">
        <v>17.510000000000002</v>
      </c>
      <c r="CC90" t="s">
        <v>387</v>
      </c>
    </row>
    <row r="91" spans="1:81" x14ac:dyDescent="0.25">
      <c r="A91" t="s">
        <v>143</v>
      </c>
      <c r="B91" t="s">
        <v>310</v>
      </c>
      <c r="C91" t="s">
        <v>145</v>
      </c>
      <c r="D91" t="s">
        <v>223</v>
      </c>
      <c r="E91" t="s">
        <v>205</v>
      </c>
      <c r="F91" t="s">
        <v>206</v>
      </c>
      <c r="G91">
        <v>18</v>
      </c>
      <c r="I91" s="1"/>
      <c r="K91">
        <v>3052.06</v>
      </c>
      <c r="L91">
        <v>274.69</v>
      </c>
      <c r="M91">
        <v>274.69</v>
      </c>
      <c r="O91">
        <v>3052.06</v>
      </c>
      <c r="P91">
        <v>0</v>
      </c>
      <c r="Q91">
        <v>274.69</v>
      </c>
      <c r="R91">
        <v>274.69</v>
      </c>
      <c r="CC91" t="s">
        <v>335</v>
      </c>
    </row>
    <row r="92" spans="1:81" x14ac:dyDescent="0.25">
      <c r="A92" t="s">
        <v>143</v>
      </c>
      <c r="B92" t="s">
        <v>310</v>
      </c>
      <c r="C92" t="s">
        <v>145</v>
      </c>
      <c r="D92" t="s">
        <v>223</v>
      </c>
      <c r="E92" t="s">
        <v>205</v>
      </c>
      <c r="F92" t="s">
        <v>206</v>
      </c>
      <c r="G92">
        <v>5</v>
      </c>
      <c r="H92">
        <v>378.13</v>
      </c>
      <c r="I92" s="1">
        <v>9.4499999999999993</v>
      </c>
      <c r="J92">
        <v>9.4499999999999993</v>
      </c>
      <c r="O92">
        <v>378.13</v>
      </c>
      <c r="P92">
        <v>0</v>
      </c>
      <c r="Q92">
        <v>9.4499999999999993</v>
      </c>
      <c r="R92">
        <v>9.4499999999999993</v>
      </c>
      <c r="CC92" t="s">
        <v>388</v>
      </c>
    </row>
    <row r="93" spans="1:81" x14ac:dyDescent="0.25">
      <c r="A93" t="s">
        <v>143</v>
      </c>
      <c r="B93" t="s">
        <v>310</v>
      </c>
      <c r="C93" t="s">
        <v>146</v>
      </c>
      <c r="D93" t="s">
        <v>209</v>
      </c>
      <c r="E93" t="s">
        <v>205</v>
      </c>
      <c r="F93" t="s">
        <v>206</v>
      </c>
      <c r="G93">
        <v>0</v>
      </c>
      <c r="I93" s="1"/>
      <c r="N93">
        <v>121.61</v>
      </c>
      <c r="O93">
        <v>121.61</v>
      </c>
      <c r="P93">
        <v>0</v>
      </c>
      <c r="Q93">
        <v>0</v>
      </c>
      <c r="R93">
        <v>0</v>
      </c>
      <c r="CC93" t="s">
        <v>335</v>
      </c>
    </row>
    <row r="94" spans="1:81" x14ac:dyDescent="0.25">
      <c r="A94" t="s">
        <v>143</v>
      </c>
      <c r="B94" t="s">
        <v>310</v>
      </c>
      <c r="C94" t="s">
        <v>146</v>
      </c>
      <c r="D94" t="s">
        <v>209</v>
      </c>
      <c r="E94" t="s">
        <v>205</v>
      </c>
      <c r="F94" t="s">
        <v>206</v>
      </c>
      <c r="G94">
        <v>18</v>
      </c>
      <c r="I94" s="1"/>
      <c r="K94">
        <v>221.54</v>
      </c>
      <c r="L94">
        <v>19.93</v>
      </c>
      <c r="M94">
        <v>19.93</v>
      </c>
      <c r="O94">
        <v>221.54</v>
      </c>
      <c r="P94">
        <v>0</v>
      </c>
      <c r="Q94">
        <v>19.93</v>
      </c>
      <c r="R94">
        <v>19.93</v>
      </c>
      <c r="CC94" t="s">
        <v>335</v>
      </c>
    </row>
    <row r="95" spans="1:81" x14ac:dyDescent="0.25">
      <c r="A95" t="s">
        <v>143</v>
      </c>
      <c r="B95" t="s">
        <v>310</v>
      </c>
      <c r="C95" t="s">
        <v>146</v>
      </c>
      <c r="D95" t="s">
        <v>209</v>
      </c>
      <c r="E95" t="s">
        <v>205</v>
      </c>
      <c r="F95" t="s">
        <v>206</v>
      </c>
      <c r="G95">
        <v>5</v>
      </c>
      <c r="H95">
        <v>17.73</v>
      </c>
      <c r="I95" s="1">
        <v>0.44</v>
      </c>
      <c r="J95">
        <v>0.44</v>
      </c>
      <c r="O95">
        <v>17.73</v>
      </c>
      <c r="P95">
        <v>0</v>
      </c>
      <c r="Q95">
        <v>0.44</v>
      </c>
      <c r="R95">
        <v>0.44</v>
      </c>
      <c r="CC95" t="s">
        <v>389</v>
      </c>
    </row>
    <row r="96" spans="1:81" x14ac:dyDescent="0.25">
      <c r="A96" t="s">
        <v>102</v>
      </c>
      <c r="B96" t="s">
        <v>306</v>
      </c>
      <c r="C96" t="s">
        <v>104</v>
      </c>
      <c r="D96" t="s">
        <v>256</v>
      </c>
      <c r="E96" t="s">
        <v>205</v>
      </c>
      <c r="F96" t="s">
        <v>206</v>
      </c>
      <c r="G96">
        <v>5</v>
      </c>
      <c r="H96">
        <v>3240</v>
      </c>
      <c r="I96" s="1">
        <v>81</v>
      </c>
      <c r="J96">
        <v>81</v>
      </c>
      <c r="O96">
        <v>3240</v>
      </c>
      <c r="P96">
        <v>0</v>
      </c>
      <c r="Q96">
        <v>81</v>
      </c>
      <c r="R96">
        <v>81</v>
      </c>
      <c r="CC96" t="s">
        <v>390</v>
      </c>
    </row>
    <row r="97" spans="1:81" x14ac:dyDescent="0.25">
      <c r="A97" t="s">
        <v>66</v>
      </c>
      <c r="B97" t="s">
        <v>307</v>
      </c>
      <c r="C97" t="s">
        <v>68</v>
      </c>
      <c r="D97" t="s">
        <v>223</v>
      </c>
      <c r="E97" t="s">
        <v>205</v>
      </c>
      <c r="F97" t="s">
        <v>206</v>
      </c>
      <c r="G97">
        <v>5</v>
      </c>
      <c r="H97">
        <v>9475.2000000000007</v>
      </c>
      <c r="I97" s="1">
        <v>236.88</v>
      </c>
      <c r="J97">
        <v>236.88</v>
      </c>
      <c r="O97">
        <v>9475.2000000000007</v>
      </c>
      <c r="P97">
        <v>0</v>
      </c>
      <c r="Q97">
        <v>236.88</v>
      </c>
      <c r="R97">
        <v>236.88</v>
      </c>
      <c r="CC97" t="s">
        <v>391</v>
      </c>
    </row>
    <row r="98" spans="1:81" x14ac:dyDescent="0.25">
      <c r="A98" t="s">
        <v>189</v>
      </c>
      <c r="B98" t="s">
        <v>311</v>
      </c>
      <c r="C98" t="s">
        <v>191</v>
      </c>
      <c r="D98" t="s">
        <v>217</v>
      </c>
      <c r="E98" t="s">
        <v>205</v>
      </c>
      <c r="F98" t="s">
        <v>206</v>
      </c>
      <c r="G98">
        <v>0</v>
      </c>
      <c r="I98" s="1"/>
      <c r="N98">
        <v>320</v>
      </c>
      <c r="O98">
        <v>320</v>
      </c>
      <c r="P98">
        <v>0</v>
      </c>
      <c r="Q98">
        <v>0</v>
      </c>
      <c r="R98">
        <v>0</v>
      </c>
      <c r="CC98" t="s">
        <v>335</v>
      </c>
    </row>
    <row r="99" spans="1:81" x14ac:dyDescent="0.25">
      <c r="A99" t="s">
        <v>189</v>
      </c>
      <c r="B99" t="s">
        <v>311</v>
      </c>
      <c r="C99" t="s">
        <v>191</v>
      </c>
      <c r="D99" t="s">
        <v>217</v>
      </c>
      <c r="E99" t="s">
        <v>205</v>
      </c>
      <c r="F99" t="s">
        <v>206</v>
      </c>
      <c r="G99">
        <v>5</v>
      </c>
      <c r="H99">
        <v>1476.19</v>
      </c>
      <c r="I99" s="1">
        <v>36.9</v>
      </c>
      <c r="J99">
        <v>36.9</v>
      </c>
      <c r="O99">
        <v>1476.19</v>
      </c>
      <c r="P99">
        <v>0</v>
      </c>
      <c r="Q99">
        <v>36.9</v>
      </c>
      <c r="R99">
        <v>36.9</v>
      </c>
      <c r="CC99" t="s">
        <v>392</v>
      </c>
    </row>
    <row r="100" spans="1:81" x14ac:dyDescent="0.25">
      <c r="A100" t="s">
        <v>189</v>
      </c>
      <c r="B100" t="s">
        <v>311</v>
      </c>
      <c r="C100" t="s">
        <v>192</v>
      </c>
      <c r="D100" t="s">
        <v>260</v>
      </c>
      <c r="E100" t="s">
        <v>205</v>
      </c>
      <c r="F100" t="s">
        <v>206</v>
      </c>
      <c r="G100">
        <v>5</v>
      </c>
      <c r="H100">
        <v>1523.85</v>
      </c>
      <c r="I100" s="1">
        <v>38.1</v>
      </c>
      <c r="J100">
        <v>38.1</v>
      </c>
      <c r="O100">
        <v>1523.85</v>
      </c>
      <c r="P100">
        <v>0</v>
      </c>
      <c r="Q100">
        <v>38.1</v>
      </c>
      <c r="R100">
        <v>38.1</v>
      </c>
      <c r="CC100" t="s">
        <v>393</v>
      </c>
    </row>
    <row r="101" spans="1:81" x14ac:dyDescent="0.25">
      <c r="A101" t="s">
        <v>189</v>
      </c>
      <c r="B101" t="s">
        <v>311</v>
      </c>
      <c r="C101" t="s">
        <v>193</v>
      </c>
      <c r="D101" t="s">
        <v>239</v>
      </c>
      <c r="E101" t="s">
        <v>205</v>
      </c>
      <c r="F101" t="s">
        <v>206</v>
      </c>
      <c r="G101">
        <v>5</v>
      </c>
      <c r="H101">
        <v>1009.55</v>
      </c>
      <c r="I101" s="1">
        <v>25.24</v>
      </c>
      <c r="J101">
        <v>25.24</v>
      </c>
      <c r="O101">
        <v>1009.55</v>
      </c>
      <c r="P101">
        <v>0</v>
      </c>
      <c r="Q101">
        <v>25.24</v>
      </c>
      <c r="R101">
        <v>25.24</v>
      </c>
      <c r="CC101" t="s">
        <v>394</v>
      </c>
    </row>
    <row r="102" spans="1:81" x14ac:dyDescent="0.25">
      <c r="A102" t="s">
        <v>140</v>
      </c>
      <c r="B102" t="s">
        <v>312</v>
      </c>
      <c r="C102" t="s">
        <v>142</v>
      </c>
      <c r="D102" t="s">
        <v>214</v>
      </c>
      <c r="E102" t="s">
        <v>205</v>
      </c>
      <c r="F102" t="s">
        <v>206</v>
      </c>
      <c r="G102">
        <v>5</v>
      </c>
      <c r="H102">
        <v>4617.6000000000004</v>
      </c>
      <c r="I102" s="1">
        <v>115.44</v>
      </c>
      <c r="J102">
        <v>115.44</v>
      </c>
      <c r="O102">
        <v>4617.6000000000004</v>
      </c>
      <c r="P102">
        <v>0</v>
      </c>
      <c r="Q102">
        <v>115.44</v>
      </c>
      <c r="R102">
        <v>115.44</v>
      </c>
      <c r="CC102" t="s">
        <v>395</v>
      </c>
    </row>
    <row r="103" spans="1:81" x14ac:dyDescent="0.25">
      <c r="A103" t="s">
        <v>106</v>
      </c>
      <c r="B103" t="s">
        <v>308</v>
      </c>
      <c r="C103" t="s">
        <v>272</v>
      </c>
      <c r="D103" t="s">
        <v>224</v>
      </c>
      <c r="E103" t="s">
        <v>205</v>
      </c>
      <c r="F103" t="s">
        <v>206</v>
      </c>
      <c r="G103">
        <v>5</v>
      </c>
      <c r="H103">
        <v>2742.86</v>
      </c>
      <c r="I103" s="1">
        <v>68.569999999999993</v>
      </c>
      <c r="J103">
        <v>68.569999999999993</v>
      </c>
      <c r="O103">
        <v>2742.86</v>
      </c>
      <c r="P103">
        <v>0</v>
      </c>
      <c r="Q103">
        <v>68.569999999999993</v>
      </c>
      <c r="R103">
        <v>68.569999999999993</v>
      </c>
      <c r="CC103" t="s">
        <v>396</v>
      </c>
    </row>
    <row r="104" spans="1:81" x14ac:dyDescent="0.25">
      <c r="A104" t="s">
        <v>106</v>
      </c>
      <c r="B104" t="s">
        <v>308</v>
      </c>
      <c r="C104" t="s">
        <v>274</v>
      </c>
      <c r="D104" t="s">
        <v>209</v>
      </c>
      <c r="E104" t="s">
        <v>205</v>
      </c>
      <c r="F104" t="s">
        <v>206</v>
      </c>
      <c r="G104">
        <v>5</v>
      </c>
      <c r="H104">
        <v>4003.53</v>
      </c>
      <c r="I104" s="1">
        <v>100.09</v>
      </c>
      <c r="J104">
        <v>100.09</v>
      </c>
      <c r="O104">
        <v>4003.53</v>
      </c>
      <c r="P104">
        <v>0</v>
      </c>
      <c r="Q104">
        <v>100.09</v>
      </c>
      <c r="R104">
        <v>100.09</v>
      </c>
      <c r="CC104" t="s">
        <v>397</v>
      </c>
    </row>
    <row r="105" spans="1:81" x14ac:dyDescent="0.25">
      <c r="A105" t="s">
        <v>106</v>
      </c>
      <c r="B105" t="s">
        <v>308</v>
      </c>
      <c r="C105" t="s">
        <v>275</v>
      </c>
      <c r="D105" t="s">
        <v>215</v>
      </c>
      <c r="E105" t="s">
        <v>205</v>
      </c>
      <c r="F105" t="s">
        <v>206</v>
      </c>
      <c r="G105">
        <v>5</v>
      </c>
      <c r="H105">
        <v>6523.89</v>
      </c>
      <c r="I105" s="1">
        <v>163.1</v>
      </c>
      <c r="J105">
        <v>163.1</v>
      </c>
      <c r="O105">
        <v>6523.89</v>
      </c>
      <c r="P105">
        <v>0</v>
      </c>
      <c r="Q105">
        <v>163.1</v>
      </c>
      <c r="R105">
        <v>163.1</v>
      </c>
      <c r="CC105" t="s">
        <v>398</v>
      </c>
    </row>
  </sheetData>
  <autoFilter ref="A1:CC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05"/>
  <sheetViews>
    <sheetView topLeftCell="B1" workbookViewId="0">
      <selection activeCell="B1" sqref="A1:XFD1"/>
    </sheetView>
  </sheetViews>
  <sheetFormatPr defaultRowHeight="15" x14ac:dyDescent="0.25"/>
  <sheetData>
    <row r="1" spans="2:32" x14ac:dyDescent="0.25">
      <c r="B1" t="s">
        <v>276</v>
      </c>
      <c r="V1" t="s">
        <v>277</v>
      </c>
    </row>
    <row r="2" spans="2:32" x14ac:dyDescent="0.25">
      <c r="B2" t="s">
        <v>52</v>
      </c>
      <c r="C2" t="s">
        <v>207</v>
      </c>
      <c r="D2" t="s">
        <v>54</v>
      </c>
      <c r="E2" t="s">
        <v>208</v>
      </c>
      <c r="F2" t="s">
        <v>209</v>
      </c>
      <c r="G2">
        <v>11550</v>
      </c>
      <c r="H2" t="s">
        <v>4</v>
      </c>
      <c r="I2" t="s">
        <v>210</v>
      </c>
      <c r="J2">
        <v>5</v>
      </c>
      <c r="O2">
        <v>0</v>
      </c>
      <c r="P2" t="s">
        <v>211</v>
      </c>
      <c r="Q2" t="s">
        <v>212</v>
      </c>
      <c r="R2" t="s">
        <v>213</v>
      </c>
      <c r="S2" t="s">
        <v>210</v>
      </c>
      <c r="V2" t="s">
        <v>0</v>
      </c>
      <c r="W2" t="s">
        <v>1</v>
      </c>
      <c r="X2" t="s">
        <v>2</v>
      </c>
      <c r="Y2" t="s">
        <v>3</v>
      </c>
      <c r="Z2" t="s">
        <v>205</v>
      </c>
      <c r="AA2" t="s">
        <v>206</v>
      </c>
      <c r="AB2">
        <f t="shared" ref="AB2:AB33" si="0">SUM(AD2:AF2)/AC2*100</f>
        <v>5.0002904893777718</v>
      </c>
      <c r="AC2">
        <v>516.37</v>
      </c>
      <c r="AD2">
        <v>0</v>
      </c>
      <c r="AE2">
        <v>12.91</v>
      </c>
      <c r="AF2">
        <v>12.91</v>
      </c>
    </row>
    <row r="3" spans="2:32" x14ac:dyDescent="0.25">
      <c r="B3" t="s">
        <v>52</v>
      </c>
      <c r="C3" t="s">
        <v>207</v>
      </c>
      <c r="D3" t="s">
        <v>55</v>
      </c>
      <c r="E3" t="s">
        <v>208</v>
      </c>
      <c r="F3" t="s">
        <v>214</v>
      </c>
      <c r="G3">
        <v>11550</v>
      </c>
      <c r="H3" t="s">
        <v>4</v>
      </c>
      <c r="I3" t="s">
        <v>210</v>
      </c>
      <c r="J3">
        <v>5</v>
      </c>
      <c r="O3">
        <v>0</v>
      </c>
      <c r="P3" t="s">
        <v>211</v>
      </c>
      <c r="Q3" t="s">
        <v>212</v>
      </c>
      <c r="R3" t="s">
        <v>213</v>
      </c>
      <c r="S3" t="s">
        <v>210</v>
      </c>
      <c r="V3" t="s">
        <v>0</v>
      </c>
      <c r="W3" t="s">
        <v>1</v>
      </c>
      <c r="X3" t="s">
        <v>5</v>
      </c>
      <c r="Y3" t="s">
        <v>6</v>
      </c>
      <c r="Z3" t="s">
        <v>205</v>
      </c>
      <c r="AA3" t="s">
        <v>206</v>
      </c>
      <c r="AB3">
        <f t="shared" si="0"/>
        <v>4.9992345270072791</v>
      </c>
      <c r="AC3">
        <v>718.51</v>
      </c>
      <c r="AD3">
        <v>0</v>
      </c>
      <c r="AE3">
        <v>17.96</v>
      </c>
      <c r="AF3">
        <v>17.96</v>
      </c>
    </row>
    <row r="4" spans="2:32" x14ac:dyDescent="0.25">
      <c r="B4" t="s">
        <v>184</v>
      </c>
      <c r="C4" t="s">
        <v>185</v>
      </c>
      <c r="D4" t="s">
        <v>186</v>
      </c>
      <c r="E4" t="s">
        <v>208</v>
      </c>
      <c r="F4" t="s">
        <v>215</v>
      </c>
      <c r="G4">
        <v>4896</v>
      </c>
      <c r="H4" t="s">
        <v>4</v>
      </c>
      <c r="I4" t="s">
        <v>210</v>
      </c>
      <c r="J4">
        <v>5</v>
      </c>
      <c r="O4">
        <v>0</v>
      </c>
      <c r="P4" t="s">
        <v>211</v>
      </c>
      <c r="Q4" t="s">
        <v>216</v>
      </c>
      <c r="R4" t="s">
        <v>213</v>
      </c>
      <c r="S4" t="s">
        <v>210</v>
      </c>
      <c r="V4" t="s">
        <v>0</v>
      </c>
      <c r="W4" t="s">
        <v>1</v>
      </c>
      <c r="X4" t="s">
        <v>7</v>
      </c>
      <c r="Y4" t="s">
        <v>8</v>
      </c>
      <c r="Z4" t="s">
        <v>205</v>
      </c>
      <c r="AA4" t="s">
        <v>206</v>
      </c>
      <c r="AB4">
        <f t="shared" si="0"/>
        <v>4.9980627663696238</v>
      </c>
      <c r="AC4">
        <v>309.72000000000003</v>
      </c>
      <c r="AD4">
        <v>0</v>
      </c>
      <c r="AE4">
        <v>7.74</v>
      </c>
      <c r="AF4">
        <v>7.74</v>
      </c>
    </row>
    <row r="5" spans="2:32" x14ac:dyDescent="0.25">
      <c r="B5" t="s">
        <v>184</v>
      </c>
      <c r="C5" t="s">
        <v>185</v>
      </c>
      <c r="D5" t="s">
        <v>187</v>
      </c>
      <c r="E5" t="s">
        <v>208</v>
      </c>
      <c r="F5" t="s">
        <v>217</v>
      </c>
      <c r="G5">
        <v>40500</v>
      </c>
      <c r="H5" t="s">
        <v>4</v>
      </c>
      <c r="I5" t="s">
        <v>210</v>
      </c>
      <c r="J5">
        <v>5</v>
      </c>
      <c r="O5">
        <v>0</v>
      </c>
      <c r="P5" t="s">
        <v>211</v>
      </c>
      <c r="Q5" t="s">
        <v>216</v>
      </c>
      <c r="R5" t="s">
        <v>213</v>
      </c>
      <c r="S5" t="s">
        <v>210</v>
      </c>
      <c r="V5" t="s">
        <v>0</v>
      </c>
      <c r="W5" t="s">
        <v>1</v>
      </c>
      <c r="X5" t="s">
        <v>9</v>
      </c>
      <c r="Y5" t="s">
        <v>10</v>
      </c>
      <c r="Z5" t="s">
        <v>205</v>
      </c>
      <c r="AA5" t="s">
        <v>206</v>
      </c>
      <c r="AB5">
        <f t="shared" si="0"/>
        <v>5.0004869700722105</v>
      </c>
      <c r="AC5">
        <v>718.73</v>
      </c>
      <c r="AD5">
        <v>0</v>
      </c>
      <c r="AE5">
        <v>17.97</v>
      </c>
      <c r="AF5">
        <v>17.97</v>
      </c>
    </row>
    <row r="6" spans="2:32" x14ac:dyDescent="0.25">
      <c r="B6" t="s">
        <v>184</v>
      </c>
      <c r="C6" t="s">
        <v>185</v>
      </c>
      <c r="D6" t="s">
        <v>188</v>
      </c>
      <c r="E6" t="s">
        <v>208</v>
      </c>
      <c r="F6" t="s">
        <v>218</v>
      </c>
      <c r="G6">
        <v>12100</v>
      </c>
      <c r="H6" t="s">
        <v>4</v>
      </c>
      <c r="I6" t="s">
        <v>210</v>
      </c>
      <c r="J6">
        <v>5</v>
      </c>
      <c r="O6">
        <v>0</v>
      </c>
      <c r="P6" t="s">
        <v>211</v>
      </c>
      <c r="Q6" t="s">
        <v>216</v>
      </c>
      <c r="R6" t="s">
        <v>213</v>
      </c>
      <c r="S6" t="s">
        <v>210</v>
      </c>
      <c r="V6" t="s">
        <v>11</v>
      </c>
      <c r="W6" t="s">
        <v>12</v>
      </c>
      <c r="X6" t="s">
        <v>13</v>
      </c>
      <c r="Y6" t="s">
        <v>14</v>
      </c>
      <c r="Z6" t="s">
        <v>205</v>
      </c>
      <c r="AA6" t="s">
        <v>206</v>
      </c>
      <c r="AB6">
        <f t="shared" si="0"/>
        <v>15.785672472384196</v>
      </c>
      <c r="AC6">
        <v>5261.48</v>
      </c>
      <c r="AD6">
        <v>0</v>
      </c>
      <c r="AE6">
        <v>415.28</v>
      </c>
      <c r="AF6">
        <v>415.28</v>
      </c>
    </row>
    <row r="7" spans="2:32" x14ac:dyDescent="0.25">
      <c r="B7" t="s">
        <v>219</v>
      </c>
      <c r="C7" t="s">
        <v>220</v>
      </c>
      <c r="D7" t="s">
        <v>221</v>
      </c>
      <c r="E7" t="s">
        <v>208</v>
      </c>
      <c r="F7" t="s">
        <v>222</v>
      </c>
      <c r="G7">
        <v>730.02</v>
      </c>
      <c r="H7" t="s">
        <v>4</v>
      </c>
      <c r="I7" t="s">
        <v>210</v>
      </c>
      <c r="J7">
        <v>5</v>
      </c>
      <c r="O7">
        <v>0</v>
      </c>
      <c r="P7" t="s">
        <v>210</v>
      </c>
      <c r="R7" t="s">
        <v>213</v>
      </c>
      <c r="S7" t="s">
        <v>210</v>
      </c>
      <c r="V7" t="s">
        <v>11</v>
      </c>
      <c r="W7" t="s">
        <v>12</v>
      </c>
      <c r="X7" t="s">
        <v>15</v>
      </c>
      <c r="Y7" t="s">
        <v>14</v>
      </c>
      <c r="Z7" t="s">
        <v>205</v>
      </c>
      <c r="AA7" t="s">
        <v>206</v>
      </c>
      <c r="AB7">
        <f t="shared" si="0"/>
        <v>8.2972948790599172</v>
      </c>
      <c r="AC7">
        <v>335.29</v>
      </c>
      <c r="AD7">
        <v>0</v>
      </c>
      <c r="AE7">
        <v>13.91</v>
      </c>
      <c r="AF7">
        <v>13.91</v>
      </c>
    </row>
    <row r="8" spans="2:32" x14ac:dyDescent="0.25">
      <c r="B8" t="s">
        <v>122</v>
      </c>
      <c r="C8" t="s">
        <v>123</v>
      </c>
      <c r="D8" t="s">
        <v>124</v>
      </c>
      <c r="E8" t="s">
        <v>208</v>
      </c>
      <c r="F8" t="s">
        <v>215</v>
      </c>
      <c r="G8">
        <v>222.22</v>
      </c>
      <c r="H8" t="s">
        <v>4</v>
      </c>
      <c r="I8" t="s">
        <v>210</v>
      </c>
      <c r="J8">
        <v>5</v>
      </c>
      <c r="O8">
        <v>0</v>
      </c>
      <c r="P8" t="s">
        <v>211</v>
      </c>
      <c r="Q8" t="s">
        <v>212</v>
      </c>
      <c r="R8" t="s">
        <v>213</v>
      </c>
      <c r="S8" t="s">
        <v>210</v>
      </c>
      <c r="V8" t="s">
        <v>11</v>
      </c>
      <c r="W8" t="s">
        <v>12</v>
      </c>
      <c r="X8" t="s">
        <v>16</v>
      </c>
      <c r="Y8" t="s">
        <v>17</v>
      </c>
      <c r="Z8" t="s">
        <v>205</v>
      </c>
      <c r="AA8" t="s">
        <v>206</v>
      </c>
      <c r="AB8">
        <f t="shared" si="0"/>
        <v>15.794137842665066</v>
      </c>
      <c r="AC8">
        <v>5111.7700000000004</v>
      </c>
      <c r="AD8">
        <v>0</v>
      </c>
      <c r="AE8">
        <v>403.68</v>
      </c>
      <c r="AF8">
        <v>403.68</v>
      </c>
    </row>
    <row r="9" spans="2:32" x14ac:dyDescent="0.25">
      <c r="B9" t="s">
        <v>122</v>
      </c>
      <c r="C9" t="s">
        <v>123</v>
      </c>
      <c r="D9" t="s">
        <v>125</v>
      </c>
      <c r="E9" t="s">
        <v>208</v>
      </c>
      <c r="F9" t="s">
        <v>223</v>
      </c>
      <c r="G9">
        <v>598.79</v>
      </c>
      <c r="H9" t="s">
        <v>4</v>
      </c>
      <c r="I9" t="s">
        <v>210</v>
      </c>
      <c r="J9">
        <v>5</v>
      </c>
      <c r="O9">
        <v>0</v>
      </c>
      <c r="P9" t="s">
        <v>211</v>
      </c>
      <c r="Q9" t="s">
        <v>212</v>
      </c>
      <c r="R9" t="s">
        <v>213</v>
      </c>
      <c r="S9" t="s">
        <v>210</v>
      </c>
      <c r="V9" t="s">
        <v>11</v>
      </c>
      <c r="W9" t="s">
        <v>12</v>
      </c>
      <c r="X9" t="s">
        <v>18</v>
      </c>
      <c r="Y9" t="s">
        <v>8</v>
      </c>
      <c r="Z9" t="s">
        <v>205</v>
      </c>
      <c r="AA9" t="s">
        <v>206</v>
      </c>
      <c r="AB9">
        <f t="shared" si="0"/>
        <v>13.059078357777079</v>
      </c>
      <c r="AC9">
        <v>6047.9</v>
      </c>
      <c r="AD9">
        <v>0</v>
      </c>
      <c r="AE9">
        <v>394.9</v>
      </c>
      <c r="AF9">
        <v>394.9</v>
      </c>
    </row>
    <row r="10" spans="2:32" x14ac:dyDescent="0.25">
      <c r="B10" t="s">
        <v>122</v>
      </c>
      <c r="C10" t="s">
        <v>123</v>
      </c>
      <c r="D10" t="s">
        <v>126</v>
      </c>
      <c r="E10" t="s">
        <v>208</v>
      </c>
      <c r="F10" t="s">
        <v>224</v>
      </c>
      <c r="G10">
        <v>1027.21</v>
      </c>
      <c r="H10" t="s">
        <v>4</v>
      </c>
      <c r="I10" t="s">
        <v>210</v>
      </c>
      <c r="J10">
        <v>5</v>
      </c>
      <c r="O10">
        <v>0</v>
      </c>
      <c r="P10" t="s">
        <v>211</v>
      </c>
      <c r="Q10" t="s">
        <v>212</v>
      </c>
      <c r="R10" t="s">
        <v>213</v>
      </c>
      <c r="S10" t="s">
        <v>210</v>
      </c>
      <c r="V10" t="s">
        <v>11</v>
      </c>
      <c r="W10" t="s">
        <v>12</v>
      </c>
      <c r="X10" t="s">
        <v>19</v>
      </c>
      <c r="Y10" t="s">
        <v>8</v>
      </c>
      <c r="Z10" t="s">
        <v>205</v>
      </c>
      <c r="AA10" t="s">
        <v>206</v>
      </c>
      <c r="AB10">
        <f t="shared" si="0"/>
        <v>5.0036989710135185</v>
      </c>
      <c r="AC10">
        <v>148.69</v>
      </c>
      <c r="AD10">
        <v>0</v>
      </c>
      <c r="AE10">
        <v>3.72</v>
      </c>
      <c r="AF10">
        <v>3.72</v>
      </c>
    </row>
    <row r="11" spans="2:32" x14ac:dyDescent="0.25">
      <c r="B11" t="s">
        <v>122</v>
      </c>
      <c r="C11" t="s">
        <v>123</v>
      </c>
      <c r="D11" t="s">
        <v>127</v>
      </c>
      <c r="E11" t="s">
        <v>208</v>
      </c>
      <c r="F11" t="s">
        <v>209</v>
      </c>
      <c r="G11">
        <v>447.74</v>
      </c>
      <c r="H11" t="s">
        <v>4</v>
      </c>
      <c r="I11" t="s">
        <v>210</v>
      </c>
      <c r="J11">
        <v>5</v>
      </c>
      <c r="O11">
        <v>0</v>
      </c>
      <c r="P11" t="s">
        <v>211</v>
      </c>
      <c r="Q11" t="s">
        <v>212</v>
      </c>
      <c r="R11" t="s">
        <v>213</v>
      </c>
      <c r="S11" t="s">
        <v>210</v>
      </c>
      <c r="V11" t="s">
        <v>11</v>
      </c>
      <c r="W11" t="s">
        <v>12</v>
      </c>
      <c r="X11" t="s">
        <v>20</v>
      </c>
      <c r="Y11" t="s">
        <v>21</v>
      </c>
      <c r="Z11" t="s">
        <v>205</v>
      </c>
      <c r="AA11" t="s">
        <v>206</v>
      </c>
      <c r="AB11">
        <f t="shared" si="0"/>
        <v>15.993385760156897</v>
      </c>
      <c r="AC11">
        <v>520.09</v>
      </c>
      <c r="AD11">
        <v>0</v>
      </c>
      <c r="AE11">
        <v>41.59</v>
      </c>
      <c r="AF11">
        <v>41.59</v>
      </c>
    </row>
    <row r="12" spans="2:32" x14ac:dyDescent="0.25">
      <c r="B12" t="s">
        <v>172</v>
      </c>
      <c r="C12" t="s">
        <v>225</v>
      </c>
      <c r="D12" t="s">
        <v>174</v>
      </c>
      <c r="E12" t="s">
        <v>208</v>
      </c>
      <c r="F12" t="s">
        <v>226</v>
      </c>
      <c r="G12">
        <v>22583.74</v>
      </c>
      <c r="H12" t="s">
        <v>4</v>
      </c>
      <c r="I12" t="s">
        <v>210</v>
      </c>
      <c r="J12">
        <v>5</v>
      </c>
      <c r="O12">
        <v>0</v>
      </c>
      <c r="P12" t="s">
        <v>211</v>
      </c>
      <c r="Q12" t="s">
        <v>227</v>
      </c>
      <c r="R12" t="s">
        <v>213</v>
      </c>
      <c r="S12" t="s">
        <v>210</v>
      </c>
      <c r="V12" t="s">
        <v>11</v>
      </c>
      <c r="W12" t="s">
        <v>12</v>
      </c>
      <c r="X12" t="s">
        <v>22</v>
      </c>
      <c r="Y12" t="s">
        <v>23</v>
      </c>
      <c r="Z12" t="s">
        <v>205</v>
      </c>
      <c r="AA12" t="s">
        <v>206</v>
      </c>
      <c r="AB12">
        <f t="shared" si="0"/>
        <v>7.3997836011928335</v>
      </c>
      <c r="AC12">
        <v>1136.79</v>
      </c>
      <c r="AD12">
        <v>0</v>
      </c>
      <c r="AE12">
        <v>42.06</v>
      </c>
      <c r="AF12">
        <v>42.06</v>
      </c>
    </row>
    <row r="13" spans="2:32" x14ac:dyDescent="0.25">
      <c r="B13" t="s">
        <v>172</v>
      </c>
      <c r="C13" t="s">
        <v>225</v>
      </c>
      <c r="D13" t="s">
        <v>175</v>
      </c>
      <c r="E13" t="s">
        <v>208</v>
      </c>
      <c r="F13" t="s">
        <v>228</v>
      </c>
      <c r="G13">
        <v>16881.48</v>
      </c>
      <c r="H13" t="s">
        <v>4</v>
      </c>
      <c r="I13" t="s">
        <v>210</v>
      </c>
      <c r="J13">
        <v>5</v>
      </c>
      <c r="O13">
        <v>0</v>
      </c>
      <c r="P13" t="s">
        <v>211</v>
      </c>
      <c r="Q13" t="s">
        <v>227</v>
      </c>
      <c r="R13" t="s">
        <v>213</v>
      </c>
      <c r="S13" t="s">
        <v>210</v>
      </c>
      <c r="V13" t="s">
        <v>11</v>
      </c>
      <c r="W13" t="s">
        <v>12</v>
      </c>
      <c r="X13" t="s">
        <v>24</v>
      </c>
      <c r="Y13" t="s">
        <v>25</v>
      </c>
      <c r="Z13" t="s">
        <v>205</v>
      </c>
      <c r="AA13" t="s">
        <v>206</v>
      </c>
      <c r="AB13">
        <f t="shared" si="0"/>
        <v>8.9603637263949221</v>
      </c>
      <c r="AC13">
        <v>888.58</v>
      </c>
      <c r="AD13">
        <v>0</v>
      </c>
      <c r="AE13">
        <v>39.81</v>
      </c>
      <c r="AF13">
        <v>39.81</v>
      </c>
    </row>
    <row r="14" spans="2:32" x14ac:dyDescent="0.25">
      <c r="B14" t="s">
        <v>172</v>
      </c>
      <c r="C14" t="s">
        <v>225</v>
      </c>
      <c r="D14" t="s">
        <v>176</v>
      </c>
      <c r="E14" t="s">
        <v>208</v>
      </c>
      <c r="F14" t="s">
        <v>229</v>
      </c>
      <c r="G14">
        <v>22543.919999999998</v>
      </c>
      <c r="H14" t="s">
        <v>4</v>
      </c>
      <c r="I14" t="s">
        <v>210</v>
      </c>
      <c r="J14">
        <v>5</v>
      </c>
      <c r="O14">
        <v>0</v>
      </c>
      <c r="P14" t="s">
        <v>211</v>
      </c>
      <c r="Q14" t="s">
        <v>227</v>
      </c>
      <c r="R14" t="s">
        <v>213</v>
      </c>
      <c r="S14" t="s">
        <v>210</v>
      </c>
      <c r="V14" t="s">
        <v>26</v>
      </c>
      <c r="W14" t="s">
        <v>27</v>
      </c>
      <c r="X14" t="s">
        <v>28</v>
      </c>
      <c r="Y14" t="s">
        <v>29</v>
      </c>
      <c r="Z14" t="s">
        <v>205</v>
      </c>
      <c r="AA14" t="s">
        <v>206</v>
      </c>
      <c r="AB14">
        <f t="shared" si="0"/>
        <v>5.0003720514919259</v>
      </c>
      <c r="AC14">
        <v>806.34</v>
      </c>
      <c r="AD14">
        <v>0</v>
      </c>
      <c r="AE14">
        <v>20.16</v>
      </c>
      <c r="AF14">
        <v>20.16</v>
      </c>
    </row>
    <row r="15" spans="2:32" x14ac:dyDescent="0.25">
      <c r="B15" t="s">
        <v>76</v>
      </c>
      <c r="C15" t="s">
        <v>230</v>
      </c>
      <c r="D15" t="s">
        <v>78</v>
      </c>
      <c r="E15" t="s">
        <v>208</v>
      </c>
      <c r="F15" t="s">
        <v>231</v>
      </c>
      <c r="G15">
        <v>4568</v>
      </c>
      <c r="H15" t="s">
        <v>4</v>
      </c>
      <c r="I15" t="s">
        <v>210</v>
      </c>
      <c r="J15">
        <v>5</v>
      </c>
      <c r="O15">
        <v>0</v>
      </c>
      <c r="P15" t="s">
        <v>211</v>
      </c>
      <c r="Q15" t="s">
        <v>232</v>
      </c>
      <c r="R15" t="s">
        <v>213</v>
      </c>
      <c r="S15" t="s">
        <v>210</v>
      </c>
      <c r="V15" t="s">
        <v>26</v>
      </c>
      <c r="W15" t="s">
        <v>27</v>
      </c>
      <c r="X15" t="s">
        <v>30</v>
      </c>
      <c r="Y15" t="s">
        <v>31</v>
      </c>
      <c r="Z15" t="s">
        <v>205</v>
      </c>
      <c r="AA15" t="s">
        <v>206</v>
      </c>
      <c r="AB15">
        <f t="shared" si="0"/>
        <v>4.9999731056999774</v>
      </c>
      <c r="AC15">
        <v>18591.3</v>
      </c>
      <c r="AD15">
        <v>0</v>
      </c>
      <c r="AE15">
        <v>464.78</v>
      </c>
      <c r="AF15">
        <v>464.78</v>
      </c>
    </row>
    <row r="16" spans="2:32" x14ac:dyDescent="0.25">
      <c r="B16" t="s">
        <v>76</v>
      </c>
      <c r="C16" t="s">
        <v>230</v>
      </c>
      <c r="D16" t="s">
        <v>80</v>
      </c>
      <c r="E16" t="s">
        <v>208</v>
      </c>
      <c r="F16" t="s">
        <v>209</v>
      </c>
      <c r="G16">
        <v>4568</v>
      </c>
      <c r="H16" t="s">
        <v>4</v>
      </c>
      <c r="I16" t="s">
        <v>210</v>
      </c>
      <c r="J16">
        <v>5</v>
      </c>
      <c r="O16">
        <v>0</v>
      </c>
      <c r="P16" t="s">
        <v>211</v>
      </c>
      <c r="Q16" t="s">
        <v>232</v>
      </c>
      <c r="R16" t="s">
        <v>213</v>
      </c>
      <c r="S16" t="s">
        <v>210</v>
      </c>
      <c r="V16" t="s">
        <v>32</v>
      </c>
      <c r="W16" t="s">
        <v>33</v>
      </c>
      <c r="X16" t="s">
        <v>34</v>
      </c>
      <c r="Y16" t="s">
        <v>17</v>
      </c>
      <c r="Z16" t="s">
        <v>205</v>
      </c>
      <c r="AA16" t="s">
        <v>206</v>
      </c>
      <c r="AB16">
        <f t="shared" si="0"/>
        <v>5.000656254101588</v>
      </c>
      <c r="AC16">
        <v>914.28</v>
      </c>
      <c r="AD16">
        <v>0</v>
      </c>
      <c r="AE16">
        <v>22.86</v>
      </c>
      <c r="AF16">
        <v>22.86</v>
      </c>
    </row>
    <row r="17" spans="2:32" x14ac:dyDescent="0.25">
      <c r="B17" t="s">
        <v>81</v>
      </c>
      <c r="C17" t="s">
        <v>233</v>
      </c>
      <c r="D17" t="s">
        <v>83</v>
      </c>
      <c r="E17" t="s">
        <v>208</v>
      </c>
      <c r="F17" t="s">
        <v>215</v>
      </c>
      <c r="G17">
        <v>10532</v>
      </c>
      <c r="H17" t="s">
        <v>4</v>
      </c>
      <c r="I17" t="s">
        <v>210</v>
      </c>
      <c r="J17">
        <v>5</v>
      </c>
      <c r="O17">
        <v>0</v>
      </c>
      <c r="P17" t="s">
        <v>211</v>
      </c>
      <c r="Q17" t="s">
        <v>227</v>
      </c>
      <c r="R17" t="s">
        <v>213</v>
      </c>
      <c r="S17" t="s">
        <v>210</v>
      </c>
      <c r="V17" t="s">
        <v>35</v>
      </c>
      <c r="W17" t="s">
        <v>36</v>
      </c>
      <c r="X17" t="s">
        <v>37</v>
      </c>
      <c r="Y17" t="s">
        <v>3</v>
      </c>
      <c r="Z17" t="s">
        <v>205</v>
      </c>
      <c r="AA17" t="s">
        <v>206</v>
      </c>
      <c r="AB17">
        <f t="shared" si="0"/>
        <v>4.9996114291635374</v>
      </c>
      <c r="AC17">
        <v>772.06</v>
      </c>
      <c r="AD17">
        <v>0</v>
      </c>
      <c r="AE17">
        <v>19.3</v>
      </c>
      <c r="AF17">
        <v>19.3</v>
      </c>
    </row>
    <row r="18" spans="2:32" x14ac:dyDescent="0.25">
      <c r="B18" t="s">
        <v>81</v>
      </c>
      <c r="C18" t="s">
        <v>233</v>
      </c>
      <c r="D18" t="s">
        <v>84</v>
      </c>
      <c r="E18" t="s">
        <v>208</v>
      </c>
      <c r="F18" t="s">
        <v>209</v>
      </c>
      <c r="G18">
        <v>10532</v>
      </c>
      <c r="H18" t="s">
        <v>4</v>
      </c>
      <c r="I18" t="s">
        <v>210</v>
      </c>
      <c r="J18">
        <v>5</v>
      </c>
      <c r="O18">
        <v>0</v>
      </c>
      <c r="P18" t="s">
        <v>211</v>
      </c>
      <c r="Q18" t="s">
        <v>227</v>
      </c>
      <c r="R18" t="s">
        <v>213</v>
      </c>
      <c r="S18" t="s">
        <v>210</v>
      </c>
      <c r="V18" t="s">
        <v>35</v>
      </c>
      <c r="W18" t="s">
        <v>36</v>
      </c>
      <c r="X18" t="s">
        <v>38</v>
      </c>
      <c r="Y18" t="s">
        <v>6</v>
      </c>
      <c r="Z18" t="s">
        <v>205</v>
      </c>
      <c r="AA18" t="s">
        <v>206</v>
      </c>
      <c r="AB18">
        <f t="shared" si="0"/>
        <v>4.9996114291635374</v>
      </c>
      <c r="AC18">
        <v>772.06</v>
      </c>
      <c r="AD18">
        <v>0</v>
      </c>
      <c r="AE18">
        <v>19.3</v>
      </c>
      <c r="AF18">
        <v>19.3</v>
      </c>
    </row>
    <row r="19" spans="2:32" x14ac:dyDescent="0.25">
      <c r="B19" t="s">
        <v>41</v>
      </c>
      <c r="C19" t="s">
        <v>234</v>
      </c>
      <c r="D19" t="s">
        <v>43</v>
      </c>
      <c r="E19" t="s">
        <v>208</v>
      </c>
      <c r="F19" t="s">
        <v>228</v>
      </c>
      <c r="G19">
        <v>13239</v>
      </c>
      <c r="H19" t="s">
        <v>4</v>
      </c>
      <c r="I19" t="s">
        <v>210</v>
      </c>
      <c r="J19">
        <v>5</v>
      </c>
      <c r="O19">
        <v>0</v>
      </c>
      <c r="P19" t="s">
        <v>211</v>
      </c>
      <c r="Q19" t="s">
        <v>212</v>
      </c>
      <c r="R19" t="s">
        <v>213</v>
      </c>
      <c r="S19" t="s">
        <v>210</v>
      </c>
      <c r="V19" t="s">
        <v>35</v>
      </c>
      <c r="W19" t="s">
        <v>36</v>
      </c>
      <c r="X19" t="s">
        <v>39</v>
      </c>
      <c r="Y19" t="s">
        <v>29</v>
      </c>
      <c r="Z19" t="s">
        <v>205</v>
      </c>
      <c r="AA19" t="s">
        <v>206</v>
      </c>
      <c r="AB19">
        <f t="shared" si="0"/>
        <v>5.0000173082847832</v>
      </c>
      <c r="AC19">
        <v>5777.58</v>
      </c>
      <c r="AD19">
        <v>0</v>
      </c>
      <c r="AE19">
        <v>144.44</v>
      </c>
      <c r="AF19">
        <v>144.44</v>
      </c>
    </row>
    <row r="20" spans="2:32" x14ac:dyDescent="0.25">
      <c r="B20" t="s">
        <v>41</v>
      </c>
      <c r="C20" t="s">
        <v>234</v>
      </c>
      <c r="D20" t="s">
        <v>45</v>
      </c>
      <c r="E20" t="s">
        <v>208</v>
      </c>
      <c r="F20" t="s">
        <v>218</v>
      </c>
      <c r="G20">
        <v>6800</v>
      </c>
      <c r="H20" t="s">
        <v>4</v>
      </c>
      <c r="I20" t="s">
        <v>210</v>
      </c>
      <c r="J20">
        <v>5</v>
      </c>
      <c r="O20">
        <v>0</v>
      </c>
      <c r="P20" t="s">
        <v>211</v>
      </c>
      <c r="Q20" t="s">
        <v>212</v>
      </c>
      <c r="R20" t="s">
        <v>213</v>
      </c>
      <c r="S20" t="s">
        <v>210</v>
      </c>
      <c r="V20" t="s">
        <v>35</v>
      </c>
      <c r="W20" t="s">
        <v>36</v>
      </c>
      <c r="X20" t="s">
        <v>40</v>
      </c>
      <c r="Y20" t="s">
        <v>31</v>
      </c>
      <c r="Z20" t="s">
        <v>205</v>
      </c>
      <c r="AA20" t="s">
        <v>206</v>
      </c>
      <c r="AB20">
        <f t="shared" si="0"/>
        <v>4.9999940137038292</v>
      </c>
      <c r="AC20">
        <v>8352.41</v>
      </c>
      <c r="AD20">
        <v>0</v>
      </c>
      <c r="AE20">
        <v>208.81</v>
      </c>
      <c r="AF20">
        <v>208.81</v>
      </c>
    </row>
    <row r="21" spans="2:32" x14ac:dyDescent="0.25">
      <c r="B21" t="s">
        <v>69</v>
      </c>
      <c r="C21" t="s">
        <v>235</v>
      </c>
      <c r="D21" t="s">
        <v>71</v>
      </c>
      <c r="E21" t="s">
        <v>208</v>
      </c>
      <c r="F21" t="s">
        <v>223</v>
      </c>
      <c r="G21">
        <v>14448</v>
      </c>
      <c r="H21" t="s">
        <v>4</v>
      </c>
      <c r="I21" t="s">
        <v>210</v>
      </c>
      <c r="J21">
        <v>5</v>
      </c>
      <c r="O21">
        <v>0</v>
      </c>
      <c r="P21" t="s">
        <v>211</v>
      </c>
      <c r="Q21" t="s">
        <v>236</v>
      </c>
      <c r="R21" t="s">
        <v>213</v>
      </c>
      <c r="S21" t="s">
        <v>210</v>
      </c>
      <c r="V21" t="s">
        <v>41</v>
      </c>
      <c r="W21" t="s">
        <v>42</v>
      </c>
      <c r="X21" t="s">
        <v>43</v>
      </c>
      <c r="Y21" t="s">
        <v>44</v>
      </c>
      <c r="Z21" t="s">
        <v>205</v>
      </c>
      <c r="AA21" t="s">
        <v>206</v>
      </c>
      <c r="AB21">
        <f t="shared" si="0"/>
        <v>4.9999762064518585</v>
      </c>
      <c r="AC21">
        <v>12608.46</v>
      </c>
      <c r="AD21">
        <v>0</v>
      </c>
      <c r="AE21">
        <v>315.20999999999998</v>
      </c>
      <c r="AF21">
        <v>315.20999999999998</v>
      </c>
    </row>
    <row r="22" spans="2:32" x14ac:dyDescent="0.25">
      <c r="B22" t="s">
        <v>69</v>
      </c>
      <c r="C22" t="s">
        <v>235</v>
      </c>
      <c r="D22" t="s">
        <v>71</v>
      </c>
      <c r="E22" t="s">
        <v>208</v>
      </c>
      <c r="F22" t="s">
        <v>223</v>
      </c>
      <c r="G22">
        <v>14448</v>
      </c>
      <c r="H22" t="s">
        <v>4</v>
      </c>
      <c r="I22" t="s">
        <v>210</v>
      </c>
      <c r="J22">
        <v>0</v>
      </c>
      <c r="O22">
        <v>0</v>
      </c>
      <c r="P22" t="s">
        <v>211</v>
      </c>
      <c r="Q22" t="s">
        <v>236</v>
      </c>
      <c r="R22" t="s">
        <v>213</v>
      </c>
      <c r="S22" t="s">
        <v>210</v>
      </c>
      <c r="V22" t="s">
        <v>41</v>
      </c>
      <c r="W22" t="s">
        <v>42</v>
      </c>
      <c r="X22" t="s">
        <v>45</v>
      </c>
      <c r="Y22" t="s">
        <v>46</v>
      </c>
      <c r="Z22" t="s">
        <v>205</v>
      </c>
      <c r="AA22" t="s">
        <v>206</v>
      </c>
      <c r="AB22">
        <f t="shared" si="0"/>
        <v>4.9999691169294822</v>
      </c>
      <c r="AC22">
        <v>6476.04</v>
      </c>
      <c r="AD22">
        <v>0</v>
      </c>
      <c r="AE22">
        <v>161.9</v>
      </c>
      <c r="AF22">
        <v>161.9</v>
      </c>
    </row>
    <row r="23" spans="2:32" x14ac:dyDescent="0.25">
      <c r="B23" t="s">
        <v>69</v>
      </c>
      <c r="C23" t="s">
        <v>235</v>
      </c>
      <c r="D23" t="s">
        <v>72</v>
      </c>
      <c r="E23" t="s">
        <v>208</v>
      </c>
      <c r="F23" t="s">
        <v>224</v>
      </c>
      <c r="G23">
        <v>17895</v>
      </c>
      <c r="H23" t="s">
        <v>4</v>
      </c>
      <c r="I23" t="s">
        <v>210</v>
      </c>
      <c r="J23">
        <v>5</v>
      </c>
      <c r="O23">
        <v>0</v>
      </c>
      <c r="P23" t="s">
        <v>211</v>
      </c>
      <c r="Q23" t="s">
        <v>236</v>
      </c>
      <c r="R23" t="s">
        <v>213</v>
      </c>
      <c r="S23" t="s">
        <v>210</v>
      </c>
      <c r="V23" t="s">
        <v>47</v>
      </c>
      <c r="W23" t="s">
        <v>48</v>
      </c>
      <c r="X23" t="s">
        <v>49</v>
      </c>
      <c r="Y23" t="s">
        <v>50</v>
      </c>
      <c r="Z23" t="s">
        <v>205</v>
      </c>
      <c r="AA23" t="s">
        <v>206</v>
      </c>
      <c r="AB23">
        <f t="shared" si="0"/>
        <v>9.4858916515509701</v>
      </c>
      <c r="AC23">
        <v>1527.11</v>
      </c>
      <c r="AD23">
        <v>0</v>
      </c>
      <c r="AE23">
        <v>72.430000000000007</v>
      </c>
      <c r="AF23">
        <v>72.430000000000007</v>
      </c>
    </row>
    <row r="24" spans="2:32" x14ac:dyDescent="0.25">
      <c r="B24" t="s">
        <v>69</v>
      </c>
      <c r="C24" t="s">
        <v>235</v>
      </c>
      <c r="D24" t="s">
        <v>72</v>
      </c>
      <c r="E24" t="s">
        <v>208</v>
      </c>
      <c r="F24" t="s">
        <v>224</v>
      </c>
      <c r="G24">
        <v>17895</v>
      </c>
      <c r="H24" t="s">
        <v>4</v>
      </c>
      <c r="I24" t="s">
        <v>210</v>
      </c>
      <c r="J24">
        <v>0</v>
      </c>
      <c r="O24">
        <v>0</v>
      </c>
      <c r="P24" t="s">
        <v>211</v>
      </c>
      <c r="Q24" t="s">
        <v>236</v>
      </c>
      <c r="R24" t="s">
        <v>213</v>
      </c>
      <c r="S24" t="s">
        <v>210</v>
      </c>
      <c r="V24" t="s">
        <v>47</v>
      </c>
      <c r="W24" t="s">
        <v>48</v>
      </c>
      <c r="X24" t="s">
        <v>51</v>
      </c>
      <c r="Y24" t="s">
        <v>8</v>
      </c>
      <c r="Z24" t="s">
        <v>205</v>
      </c>
      <c r="AA24" t="s">
        <v>206</v>
      </c>
      <c r="AB24">
        <f t="shared" si="0"/>
        <v>6.7844093597846546</v>
      </c>
      <c r="AC24">
        <v>1185.07</v>
      </c>
      <c r="AD24">
        <v>0</v>
      </c>
      <c r="AE24">
        <v>40.200000000000003</v>
      </c>
      <c r="AF24">
        <v>40.200000000000003</v>
      </c>
    </row>
    <row r="25" spans="2:32" x14ac:dyDescent="0.25">
      <c r="B25" t="s">
        <v>69</v>
      </c>
      <c r="C25" t="s">
        <v>235</v>
      </c>
      <c r="D25" t="s">
        <v>73</v>
      </c>
      <c r="E25" t="s">
        <v>208</v>
      </c>
      <c r="F25" t="s">
        <v>209</v>
      </c>
      <c r="G25">
        <v>29940</v>
      </c>
      <c r="H25" t="s">
        <v>4</v>
      </c>
      <c r="I25" t="s">
        <v>210</v>
      </c>
      <c r="J25">
        <v>0</v>
      </c>
      <c r="O25">
        <v>0</v>
      </c>
      <c r="P25" t="s">
        <v>211</v>
      </c>
      <c r="Q25" t="s">
        <v>236</v>
      </c>
      <c r="R25" t="s">
        <v>213</v>
      </c>
      <c r="S25" t="s">
        <v>210</v>
      </c>
      <c r="V25" t="s">
        <v>52</v>
      </c>
      <c r="W25" t="s">
        <v>53</v>
      </c>
      <c r="X25" t="s">
        <v>54</v>
      </c>
      <c r="Y25" t="s">
        <v>31</v>
      </c>
      <c r="Z25" t="s">
        <v>205</v>
      </c>
      <c r="AA25" t="s">
        <v>206</v>
      </c>
      <c r="AB25">
        <f t="shared" si="0"/>
        <v>5</v>
      </c>
      <c r="AC25">
        <v>11000</v>
      </c>
      <c r="AD25">
        <v>0</v>
      </c>
      <c r="AE25">
        <v>275</v>
      </c>
      <c r="AF25">
        <v>275</v>
      </c>
    </row>
    <row r="26" spans="2:32" x14ac:dyDescent="0.25">
      <c r="B26" t="s">
        <v>69</v>
      </c>
      <c r="C26" t="s">
        <v>235</v>
      </c>
      <c r="D26" t="s">
        <v>73</v>
      </c>
      <c r="E26" t="s">
        <v>208</v>
      </c>
      <c r="F26" t="s">
        <v>209</v>
      </c>
      <c r="G26">
        <v>29940</v>
      </c>
      <c r="H26" t="s">
        <v>4</v>
      </c>
      <c r="I26" t="s">
        <v>210</v>
      </c>
      <c r="J26">
        <v>5</v>
      </c>
      <c r="O26">
        <v>0</v>
      </c>
      <c r="P26" t="s">
        <v>211</v>
      </c>
      <c r="Q26" t="s">
        <v>236</v>
      </c>
      <c r="R26" t="s">
        <v>213</v>
      </c>
      <c r="S26" t="s">
        <v>210</v>
      </c>
      <c r="V26" t="s">
        <v>52</v>
      </c>
      <c r="W26" t="s">
        <v>53</v>
      </c>
      <c r="X26" t="s">
        <v>55</v>
      </c>
      <c r="Y26" t="s">
        <v>56</v>
      </c>
      <c r="Z26" t="s">
        <v>205</v>
      </c>
      <c r="AA26" t="s">
        <v>206</v>
      </c>
      <c r="AB26">
        <f t="shared" si="0"/>
        <v>5</v>
      </c>
      <c r="AC26">
        <v>11000</v>
      </c>
      <c r="AD26">
        <v>0</v>
      </c>
      <c r="AE26">
        <v>275</v>
      </c>
      <c r="AF26">
        <v>275</v>
      </c>
    </row>
    <row r="27" spans="2:32" x14ac:dyDescent="0.25">
      <c r="B27" t="s">
        <v>69</v>
      </c>
      <c r="C27" t="s">
        <v>235</v>
      </c>
      <c r="D27" t="s">
        <v>75</v>
      </c>
      <c r="E27" t="s">
        <v>208</v>
      </c>
      <c r="F27" t="s">
        <v>215</v>
      </c>
      <c r="G27">
        <v>15840</v>
      </c>
      <c r="H27" t="s">
        <v>4</v>
      </c>
      <c r="I27" t="s">
        <v>210</v>
      </c>
      <c r="J27">
        <v>5</v>
      </c>
      <c r="O27">
        <v>0</v>
      </c>
      <c r="P27" t="s">
        <v>211</v>
      </c>
      <c r="Q27" t="s">
        <v>236</v>
      </c>
      <c r="R27" t="s">
        <v>213</v>
      </c>
      <c r="S27" t="s">
        <v>210</v>
      </c>
      <c r="V27" t="s">
        <v>58</v>
      </c>
      <c r="W27" t="s">
        <v>59</v>
      </c>
      <c r="X27" t="s">
        <v>60</v>
      </c>
      <c r="Y27" t="s">
        <v>61</v>
      </c>
      <c r="Z27" t="s">
        <v>205</v>
      </c>
      <c r="AA27" t="s">
        <v>206</v>
      </c>
      <c r="AB27">
        <f t="shared" si="0"/>
        <v>4.9996249745518444</v>
      </c>
      <c r="AC27">
        <v>933.27</v>
      </c>
      <c r="AD27">
        <v>0</v>
      </c>
      <c r="AE27">
        <v>23.33</v>
      </c>
      <c r="AF27">
        <v>23.33</v>
      </c>
    </row>
    <row r="28" spans="2:32" x14ac:dyDescent="0.25">
      <c r="B28" t="s">
        <v>69</v>
      </c>
      <c r="C28" t="s">
        <v>235</v>
      </c>
      <c r="D28" t="s">
        <v>75</v>
      </c>
      <c r="E28" t="s">
        <v>208</v>
      </c>
      <c r="F28" t="s">
        <v>215</v>
      </c>
      <c r="G28">
        <v>15840</v>
      </c>
      <c r="H28" t="s">
        <v>4</v>
      </c>
      <c r="I28" t="s">
        <v>210</v>
      </c>
      <c r="J28">
        <v>0</v>
      </c>
      <c r="O28">
        <v>0</v>
      </c>
      <c r="P28" t="s">
        <v>211</v>
      </c>
      <c r="Q28" t="s">
        <v>236</v>
      </c>
      <c r="R28" t="s">
        <v>213</v>
      </c>
      <c r="S28" t="s">
        <v>210</v>
      </c>
      <c r="V28" t="s">
        <v>58</v>
      </c>
      <c r="W28" t="s">
        <v>59</v>
      </c>
      <c r="X28" t="s">
        <v>62</v>
      </c>
      <c r="Y28" t="s">
        <v>63</v>
      </c>
      <c r="Z28" t="s">
        <v>205</v>
      </c>
      <c r="AA28" t="s">
        <v>206</v>
      </c>
      <c r="AB28">
        <f t="shared" si="0"/>
        <v>5.0001643844623809</v>
      </c>
      <c r="AC28">
        <v>4866.6400000000003</v>
      </c>
      <c r="AD28">
        <v>0</v>
      </c>
      <c r="AE28">
        <v>121.67</v>
      </c>
      <c r="AF28">
        <v>121.67</v>
      </c>
    </row>
    <row r="29" spans="2:32" x14ac:dyDescent="0.25">
      <c r="B29" t="s">
        <v>163</v>
      </c>
      <c r="C29" t="s">
        <v>237</v>
      </c>
      <c r="D29" t="s">
        <v>165</v>
      </c>
      <c r="E29" t="s">
        <v>208</v>
      </c>
      <c r="F29" t="s">
        <v>238</v>
      </c>
      <c r="G29">
        <v>14415</v>
      </c>
      <c r="H29" t="s">
        <v>4</v>
      </c>
      <c r="I29" t="s">
        <v>210</v>
      </c>
      <c r="J29">
        <v>0</v>
      </c>
      <c r="O29">
        <v>0</v>
      </c>
      <c r="P29" t="s">
        <v>211</v>
      </c>
      <c r="Q29" t="s">
        <v>212</v>
      </c>
      <c r="R29" t="s">
        <v>213</v>
      </c>
      <c r="S29" t="s">
        <v>210</v>
      </c>
      <c r="V29" t="s">
        <v>58</v>
      </c>
      <c r="W29" t="s">
        <v>59</v>
      </c>
      <c r="X29" t="s">
        <v>64</v>
      </c>
      <c r="Y29" t="s">
        <v>65</v>
      </c>
      <c r="Z29" t="s">
        <v>205</v>
      </c>
      <c r="AA29" t="s">
        <v>206</v>
      </c>
      <c r="AB29">
        <f t="shared" si="0"/>
        <v>5.0013386880856761</v>
      </c>
      <c r="AC29">
        <v>373.5</v>
      </c>
      <c r="AD29">
        <v>0</v>
      </c>
      <c r="AE29">
        <v>9.34</v>
      </c>
      <c r="AF29">
        <v>9.34</v>
      </c>
    </row>
    <row r="30" spans="2:32" x14ac:dyDescent="0.25">
      <c r="B30" t="s">
        <v>163</v>
      </c>
      <c r="C30" t="s">
        <v>237</v>
      </c>
      <c r="D30" t="s">
        <v>165</v>
      </c>
      <c r="E30" t="s">
        <v>208</v>
      </c>
      <c r="F30" t="s">
        <v>238</v>
      </c>
      <c r="G30">
        <v>14415</v>
      </c>
      <c r="H30" t="s">
        <v>4</v>
      </c>
      <c r="I30" t="s">
        <v>210</v>
      </c>
      <c r="J30">
        <v>5</v>
      </c>
      <c r="O30">
        <v>0</v>
      </c>
      <c r="P30" t="s">
        <v>211</v>
      </c>
      <c r="Q30" t="s">
        <v>212</v>
      </c>
      <c r="R30" t="s">
        <v>213</v>
      </c>
      <c r="S30" t="s">
        <v>210</v>
      </c>
      <c r="V30" t="s">
        <v>66</v>
      </c>
      <c r="W30" t="s">
        <v>67</v>
      </c>
      <c r="X30" t="s">
        <v>68</v>
      </c>
      <c r="Y30" t="s">
        <v>50</v>
      </c>
      <c r="Z30" t="s">
        <v>205</v>
      </c>
      <c r="AA30" t="s">
        <v>206</v>
      </c>
      <c r="AB30">
        <f t="shared" si="0"/>
        <v>5</v>
      </c>
      <c r="AC30">
        <v>9475.2000000000007</v>
      </c>
      <c r="AD30">
        <v>0</v>
      </c>
      <c r="AE30">
        <v>236.88</v>
      </c>
      <c r="AF30">
        <v>236.88</v>
      </c>
    </row>
    <row r="31" spans="2:32" x14ac:dyDescent="0.25">
      <c r="B31" t="s">
        <v>163</v>
      </c>
      <c r="C31" t="s">
        <v>237</v>
      </c>
      <c r="D31" t="s">
        <v>167</v>
      </c>
      <c r="E31" t="s">
        <v>208</v>
      </c>
      <c r="F31" t="s">
        <v>215</v>
      </c>
      <c r="G31">
        <v>32325</v>
      </c>
      <c r="H31" t="s">
        <v>4</v>
      </c>
      <c r="I31" t="s">
        <v>210</v>
      </c>
      <c r="J31">
        <v>5</v>
      </c>
      <c r="O31">
        <v>0</v>
      </c>
      <c r="P31" t="s">
        <v>211</v>
      </c>
      <c r="Q31" t="s">
        <v>212</v>
      </c>
      <c r="R31" t="s">
        <v>213</v>
      </c>
      <c r="S31" t="s">
        <v>210</v>
      </c>
      <c r="V31" t="s">
        <v>69</v>
      </c>
      <c r="W31" t="s">
        <v>70</v>
      </c>
      <c r="X31" t="s">
        <v>71</v>
      </c>
      <c r="Y31" t="s">
        <v>50</v>
      </c>
      <c r="Z31" t="s">
        <v>205</v>
      </c>
      <c r="AA31" t="s">
        <v>206</v>
      </c>
      <c r="AB31">
        <f t="shared" si="0"/>
        <v>4.4972620801536785</v>
      </c>
      <c r="AC31">
        <v>13826.19</v>
      </c>
      <c r="AD31">
        <v>0</v>
      </c>
      <c r="AE31">
        <v>310.89999999999998</v>
      </c>
      <c r="AF31">
        <v>310.89999999999998</v>
      </c>
    </row>
    <row r="32" spans="2:32" x14ac:dyDescent="0.25">
      <c r="B32" t="s">
        <v>163</v>
      </c>
      <c r="C32" t="s">
        <v>237</v>
      </c>
      <c r="D32" t="s">
        <v>168</v>
      </c>
      <c r="E32" t="s">
        <v>208</v>
      </c>
      <c r="F32" t="s">
        <v>224</v>
      </c>
      <c r="G32">
        <v>44910</v>
      </c>
      <c r="H32" t="s">
        <v>4</v>
      </c>
      <c r="I32" t="s">
        <v>210</v>
      </c>
      <c r="J32">
        <v>0</v>
      </c>
      <c r="O32">
        <v>0</v>
      </c>
      <c r="P32" t="s">
        <v>211</v>
      </c>
      <c r="Q32" t="s">
        <v>212</v>
      </c>
      <c r="R32" t="s">
        <v>213</v>
      </c>
      <c r="S32" t="s">
        <v>210</v>
      </c>
      <c r="V32" t="s">
        <v>69</v>
      </c>
      <c r="W32" t="s">
        <v>70</v>
      </c>
      <c r="X32" t="s">
        <v>72</v>
      </c>
      <c r="Y32" t="s">
        <v>29</v>
      </c>
      <c r="Z32" t="s">
        <v>205</v>
      </c>
      <c r="AA32" t="s">
        <v>206</v>
      </c>
      <c r="AB32">
        <f t="shared" si="0"/>
        <v>4.9194274172507697</v>
      </c>
      <c r="AC32">
        <v>17056.05</v>
      </c>
      <c r="AD32">
        <v>0</v>
      </c>
      <c r="AE32">
        <v>419.53</v>
      </c>
      <c r="AF32">
        <v>419.53</v>
      </c>
    </row>
    <row r="33" spans="2:32" x14ac:dyDescent="0.25">
      <c r="B33" t="s">
        <v>163</v>
      </c>
      <c r="C33" t="s">
        <v>237</v>
      </c>
      <c r="D33" t="s">
        <v>168</v>
      </c>
      <c r="E33" t="s">
        <v>208</v>
      </c>
      <c r="F33" t="s">
        <v>224</v>
      </c>
      <c r="G33">
        <v>44910</v>
      </c>
      <c r="H33" t="s">
        <v>4</v>
      </c>
      <c r="I33" t="s">
        <v>210</v>
      </c>
      <c r="J33">
        <v>5</v>
      </c>
      <c r="O33">
        <v>0</v>
      </c>
      <c r="P33" t="s">
        <v>211</v>
      </c>
      <c r="Q33" t="s">
        <v>212</v>
      </c>
      <c r="R33" t="s">
        <v>213</v>
      </c>
      <c r="S33" t="s">
        <v>210</v>
      </c>
      <c r="V33" t="s">
        <v>69</v>
      </c>
      <c r="W33" t="s">
        <v>70</v>
      </c>
      <c r="X33" t="s">
        <v>73</v>
      </c>
      <c r="Y33" t="s">
        <v>31</v>
      </c>
      <c r="Z33" t="s">
        <v>205</v>
      </c>
      <c r="AA33" t="s">
        <v>206</v>
      </c>
      <c r="AB33">
        <f t="shared" si="0"/>
        <v>4.9561768518706781</v>
      </c>
      <c r="AC33">
        <v>28526.02</v>
      </c>
      <c r="AD33">
        <v>0</v>
      </c>
      <c r="AE33">
        <v>706.9</v>
      </c>
      <c r="AF33">
        <v>706.9</v>
      </c>
    </row>
    <row r="34" spans="2:32" x14ac:dyDescent="0.25">
      <c r="B34" t="s">
        <v>163</v>
      </c>
      <c r="C34" t="s">
        <v>237</v>
      </c>
      <c r="D34" t="s">
        <v>169</v>
      </c>
      <c r="E34" t="s">
        <v>208</v>
      </c>
      <c r="F34" t="s">
        <v>239</v>
      </c>
      <c r="G34">
        <v>8700</v>
      </c>
      <c r="H34" t="s">
        <v>4</v>
      </c>
      <c r="I34" t="s">
        <v>210</v>
      </c>
      <c r="J34">
        <v>5</v>
      </c>
      <c r="O34">
        <v>0</v>
      </c>
      <c r="P34" t="s">
        <v>211</v>
      </c>
      <c r="Q34" t="s">
        <v>212</v>
      </c>
      <c r="R34" t="s">
        <v>213</v>
      </c>
      <c r="S34" t="s">
        <v>210</v>
      </c>
      <c r="V34" t="s">
        <v>69</v>
      </c>
      <c r="W34" t="s">
        <v>70</v>
      </c>
      <c r="X34" t="s">
        <v>75</v>
      </c>
      <c r="Y34" t="s">
        <v>57</v>
      </c>
      <c r="Z34" t="s">
        <v>205</v>
      </c>
      <c r="AA34" t="s">
        <v>206</v>
      </c>
      <c r="AB34">
        <f t="shared" ref="AB34:AB65" si="1">SUM(AD34:AF34)/AC34*100</f>
        <v>4.8511582464659515</v>
      </c>
      <c r="AC34">
        <v>15107.32</v>
      </c>
      <c r="AD34">
        <v>0</v>
      </c>
      <c r="AE34">
        <v>366.44</v>
      </c>
      <c r="AF34">
        <v>366.44</v>
      </c>
    </row>
    <row r="35" spans="2:32" x14ac:dyDescent="0.25">
      <c r="B35" t="s">
        <v>153</v>
      </c>
      <c r="C35" t="s">
        <v>240</v>
      </c>
      <c r="D35" t="s">
        <v>155</v>
      </c>
      <c r="E35" t="s">
        <v>208</v>
      </c>
      <c r="F35" t="s">
        <v>217</v>
      </c>
      <c r="G35">
        <v>508</v>
      </c>
      <c r="H35" t="s">
        <v>4</v>
      </c>
      <c r="I35" t="s">
        <v>210</v>
      </c>
      <c r="J35">
        <v>5</v>
      </c>
      <c r="O35">
        <v>0</v>
      </c>
      <c r="P35" t="s">
        <v>211</v>
      </c>
      <c r="Q35" t="s">
        <v>241</v>
      </c>
      <c r="R35" t="s">
        <v>213</v>
      </c>
      <c r="S35" t="s">
        <v>210</v>
      </c>
      <c r="V35" t="s">
        <v>76</v>
      </c>
      <c r="W35" t="s">
        <v>77</v>
      </c>
      <c r="X35" t="s">
        <v>78</v>
      </c>
      <c r="Y35" t="s">
        <v>79</v>
      </c>
      <c r="Z35" t="s">
        <v>205</v>
      </c>
      <c r="AA35" t="s">
        <v>206</v>
      </c>
      <c r="AB35">
        <f t="shared" si="1"/>
        <v>5</v>
      </c>
      <c r="AC35">
        <v>4350</v>
      </c>
      <c r="AD35">
        <v>0</v>
      </c>
      <c r="AE35">
        <v>108.75</v>
      </c>
      <c r="AF35">
        <v>108.75</v>
      </c>
    </row>
    <row r="36" spans="2:32" x14ac:dyDescent="0.25">
      <c r="B36" t="s">
        <v>153</v>
      </c>
      <c r="C36" t="s">
        <v>240</v>
      </c>
      <c r="D36" t="s">
        <v>156</v>
      </c>
      <c r="E36" t="s">
        <v>208</v>
      </c>
      <c r="F36" t="s">
        <v>239</v>
      </c>
      <c r="G36">
        <v>2257</v>
      </c>
      <c r="H36" t="s">
        <v>4</v>
      </c>
      <c r="I36" t="s">
        <v>210</v>
      </c>
      <c r="J36">
        <v>5</v>
      </c>
      <c r="O36">
        <v>0</v>
      </c>
      <c r="P36" t="s">
        <v>211</v>
      </c>
      <c r="Q36" t="s">
        <v>241</v>
      </c>
      <c r="R36" t="s">
        <v>213</v>
      </c>
      <c r="S36" t="s">
        <v>210</v>
      </c>
      <c r="V36" t="s">
        <v>76</v>
      </c>
      <c r="W36" t="s">
        <v>77</v>
      </c>
      <c r="X36" t="s">
        <v>80</v>
      </c>
      <c r="Y36" t="s">
        <v>31</v>
      </c>
      <c r="Z36" t="s">
        <v>205</v>
      </c>
      <c r="AA36" t="s">
        <v>206</v>
      </c>
      <c r="AB36">
        <f t="shared" si="1"/>
        <v>5</v>
      </c>
      <c r="AC36">
        <v>4350</v>
      </c>
      <c r="AD36">
        <v>0</v>
      </c>
      <c r="AE36">
        <v>108.75</v>
      </c>
      <c r="AF36">
        <v>108.75</v>
      </c>
    </row>
    <row r="37" spans="2:32" x14ac:dyDescent="0.25">
      <c r="B37" t="s">
        <v>0</v>
      </c>
      <c r="C37" t="s">
        <v>242</v>
      </c>
      <c r="D37" t="s">
        <v>2</v>
      </c>
      <c r="E37" t="s">
        <v>208</v>
      </c>
      <c r="F37" t="s">
        <v>226</v>
      </c>
      <c r="G37">
        <v>542.16999999999996</v>
      </c>
      <c r="H37" t="s">
        <v>4</v>
      </c>
      <c r="I37" t="s">
        <v>210</v>
      </c>
      <c r="J37">
        <v>5</v>
      </c>
      <c r="O37">
        <v>0</v>
      </c>
      <c r="P37" t="s">
        <v>211</v>
      </c>
      <c r="Q37" t="s">
        <v>232</v>
      </c>
      <c r="R37" t="s">
        <v>213</v>
      </c>
      <c r="S37" t="s">
        <v>210</v>
      </c>
      <c r="V37" t="s">
        <v>81</v>
      </c>
      <c r="W37" t="s">
        <v>82</v>
      </c>
      <c r="X37" t="s">
        <v>83</v>
      </c>
      <c r="Y37" t="s">
        <v>57</v>
      </c>
      <c r="Z37" t="s">
        <v>205</v>
      </c>
      <c r="AA37" t="s">
        <v>206</v>
      </c>
      <c r="AB37">
        <f t="shared" si="1"/>
        <v>5</v>
      </c>
      <c r="AC37">
        <v>10030</v>
      </c>
      <c r="AD37">
        <v>0</v>
      </c>
      <c r="AE37">
        <v>250.75</v>
      </c>
      <c r="AF37">
        <v>250.75</v>
      </c>
    </row>
    <row r="38" spans="2:32" x14ac:dyDescent="0.25">
      <c r="B38" t="s">
        <v>0</v>
      </c>
      <c r="C38" t="s">
        <v>242</v>
      </c>
      <c r="D38" t="s">
        <v>5</v>
      </c>
      <c r="E38" t="s">
        <v>208</v>
      </c>
      <c r="F38" t="s">
        <v>243</v>
      </c>
      <c r="G38">
        <v>754.43</v>
      </c>
      <c r="H38" t="s">
        <v>4</v>
      </c>
      <c r="I38" t="s">
        <v>210</v>
      </c>
      <c r="J38">
        <v>5</v>
      </c>
      <c r="O38">
        <v>0</v>
      </c>
      <c r="P38" t="s">
        <v>211</v>
      </c>
      <c r="Q38" t="s">
        <v>232</v>
      </c>
      <c r="R38" t="s">
        <v>213</v>
      </c>
      <c r="S38" t="s">
        <v>210</v>
      </c>
      <c r="V38" t="s">
        <v>81</v>
      </c>
      <c r="W38" t="s">
        <v>82</v>
      </c>
      <c r="X38" t="s">
        <v>84</v>
      </c>
      <c r="Y38" t="s">
        <v>31</v>
      </c>
      <c r="Z38" t="s">
        <v>205</v>
      </c>
      <c r="AA38" t="s">
        <v>206</v>
      </c>
      <c r="AB38">
        <f t="shared" si="1"/>
        <v>5</v>
      </c>
      <c r="AC38">
        <v>10030</v>
      </c>
      <c r="AD38">
        <v>0</v>
      </c>
      <c r="AE38">
        <v>250.75</v>
      </c>
      <c r="AF38">
        <v>250.75</v>
      </c>
    </row>
    <row r="39" spans="2:32" x14ac:dyDescent="0.25">
      <c r="B39" t="s">
        <v>0</v>
      </c>
      <c r="C39" t="s">
        <v>242</v>
      </c>
      <c r="D39" t="s">
        <v>7</v>
      </c>
      <c r="E39" t="s">
        <v>208</v>
      </c>
      <c r="F39" t="s">
        <v>244</v>
      </c>
      <c r="G39">
        <v>325.2</v>
      </c>
      <c r="H39" t="s">
        <v>4</v>
      </c>
      <c r="I39" t="s">
        <v>210</v>
      </c>
      <c r="J39">
        <v>5</v>
      </c>
      <c r="O39">
        <v>0</v>
      </c>
      <c r="P39" t="s">
        <v>211</v>
      </c>
      <c r="Q39" t="s">
        <v>232</v>
      </c>
      <c r="R39" t="s">
        <v>213</v>
      </c>
      <c r="S39" t="s">
        <v>210</v>
      </c>
      <c r="V39" t="s">
        <v>85</v>
      </c>
      <c r="W39" t="s">
        <v>86</v>
      </c>
      <c r="X39" t="s">
        <v>87</v>
      </c>
      <c r="Y39" t="s">
        <v>25</v>
      </c>
      <c r="Z39" t="s">
        <v>205</v>
      </c>
      <c r="AA39" t="s">
        <v>206</v>
      </c>
      <c r="AB39">
        <f t="shared" si="1"/>
        <v>5</v>
      </c>
      <c r="AC39">
        <v>6048</v>
      </c>
      <c r="AD39">
        <v>0</v>
      </c>
      <c r="AE39">
        <v>151.19999999999999</v>
      </c>
      <c r="AF39">
        <v>151.19999999999999</v>
      </c>
    </row>
    <row r="40" spans="2:32" x14ac:dyDescent="0.25">
      <c r="B40" t="s">
        <v>0</v>
      </c>
      <c r="C40" t="s">
        <v>242</v>
      </c>
      <c r="D40" t="s">
        <v>9</v>
      </c>
      <c r="E40" t="s">
        <v>208</v>
      </c>
      <c r="F40" t="s">
        <v>245</v>
      </c>
      <c r="G40">
        <v>754.67</v>
      </c>
      <c r="H40" t="s">
        <v>4</v>
      </c>
      <c r="I40" t="s">
        <v>210</v>
      </c>
      <c r="J40">
        <v>5</v>
      </c>
      <c r="O40">
        <v>0</v>
      </c>
      <c r="P40" t="s">
        <v>211</v>
      </c>
      <c r="Q40" t="s">
        <v>232</v>
      </c>
      <c r="R40" t="s">
        <v>213</v>
      </c>
      <c r="S40" t="s">
        <v>210</v>
      </c>
      <c r="V40" t="s">
        <v>88</v>
      </c>
      <c r="W40" t="s">
        <v>89</v>
      </c>
      <c r="X40" t="s">
        <v>90</v>
      </c>
      <c r="Y40" t="s">
        <v>91</v>
      </c>
      <c r="Z40" t="s">
        <v>205</v>
      </c>
      <c r="AA40" t="s">
        <v>206</v>
      </c>
      <c r="AB40">
        <f t="shared" si="1"/>
        <v>5.0003876555698721</v>
      </c>
      <c r="AC40">
        <v>5417.18</v>
      </c>
      <c r="AD40">
        <v>0</v>
      </c>
      <c r="AE40">
        <v>135.44</v>
      </c>
      <c r="AF40">
        <v>135.44</v>
      </c>
    </row>
    <row r="41" spans="2:32" x14ac:dyDescent="0.25">
      <c r="B41" t="s">
        <v>47</v>
      </c>
      <c r="C41" t="s">
        <v>246</v>
      </c>
      <c r="D41" t="s">
        <v>49</v>
      </c>
      <c r="E41" t="s">
        <v>208</v>
      </c>
      <c r="F41" t="s">
        <v>223</v>
      </c>
      <c r="G41">
        <v>1672</v>
      </c>
      <c r="H41" t="s">
        <v>4</v>
      </c>
      <c r="I41" t="s">
        <v>210</v>
      </c>
      <c r="J41">
        <v>5</v>
      </c>
      <c r="O41">
        <v>0</v>
      </c>
      <c r="P41" t="s">
        <v>211</v>
      </c>
      <c r="Q41" t="s">
        <v>236</v>
      </c>
      <c r="R41" t="s">
        <v>213</v>
      </c>
      <c r="S41" t="s">
        <v>210</v>
      </c>
      <c r="V41" t="s">
        <v>92</v>
      </c>
      <c r="W41" t="s">
        <v>93</v>
      </c>
      <c r="X41" t="s">
        <v>94</v>
      </c>
      <c r="Y41" t="s">
        <v>31</v>
      </c>
      <c r="Z41" t="s">
        <v>205</v>
      </c>
      <c r="AA41" t="s">
        <v>206</v>
      </c>
      <c r="AB41">
        <f t="shared" si="1"/>
        <v>4.8130741905804513</v>
      </c>
      <c r="AC41">
        <v>26563.48</v>
      </c>
      <c r="AD41">
        <v>0</v>
      </c>
      <c r="AE41">
        <v>639.26</v>
      </c>
      <c r="AF41">
        <v>639.26</v>
      </c>
    </row>
    <row r="42" spans="2:32" x14ac:dyDescent="0.25">
      <c r="B42" t="s">
        <v>47</v>
      </c>
      <c r="C42" t="s">
        <v>246</v>
      </c>
      <c r="D42" t="s">
        <v>49</v>
      </c>
      <c r="E42" t="s">
        <v>208</v>
      </c>
      <c r="F42" t="s">
        <v>223</v>
      </c>
      <c r="G42">
        <v>1672</v>
      </c>
      <c r="H42" t="s">
        <v>4</v>
      </c>
      <c r="I42" t="s">
        <v>210</v>
      </c>
      <c r="J42">
        <v>18</v>
      </c>
      <c r="O42">
        <v>0</v>
      </c>
      <c r="P42" t="s">
        <v>211</v>
      </c>
      <c r="Q42" t="s">
        <v>236</v>
      </c>
      <c r="R42" t="s">
        <v>213</v>
      </c>
      <c r="S42" t="s">
        <v>210</v>
      </c>
      <c r="V42" t="s">
        <v>95</v>
      </c>
      <c r="W42" t="s">
        <v>96</v>
      </c>
      <c r="X42" t="s">
        <v>97</v>
      </c>
      <c r="Y42" t="s">
        <v>79</v>
      </c>
      <c r="Z42" t="s">
        <v>205</v>
      </c>
      <c r="AA42" t="s">
        <v>206</v>
      </c>
      <c r="AB42">
        <f t="shared" si="1"/>
        <v>5.0000415679428016</v>
      </c>
      <c r="AC42">
        <v>24057</v>
      </c>
      <c r="AD42">
        <v>0</v>
      </c>
      <c r="AE42">
        <v>601.42999999999995</v>
      </c>
      <c r="AF42">
        <v>601.42999999999995</v>
      </c>
    </row>
    <row r="43" spans="2:32" x14ac:dyDescent="0.25">
      <c r="B43" t="s">
        <v>47</v>
      </c>
      <c r="C43" t="s">
        <v>246</v>
      </c>
      <c r="D43" t="s">
        <v>51</v>
      </c>
      <c r="E43" t="s">
        <v>208</v>
      </c>
      <c r="F43" t="s">
        <v>244</v>
      </c>
      <c r="G43">
        <v>1265</v>
      </c>
      <c r="H43" t="s">
        <v>4</v>
      </c>
      <c r="I43" t="s">
        <v>210</v>
      </c>
      <c r="J43">
        <v>5</v>
      </c>
      <c r="O43">
        <v>0</v>
      </c>
      <c r="P43" t="s">
        <v>211</v>
      </c>
      <c r="Q43" t="s">
        <v>236</v>
      </c>
      <c r="R43" t="s">
        <v>213</v>
      </c>
      <c r="S43" t="s">
        <v>210</v>
      </c>
      <c r="V43" t="s">
        <v>98</v>
      </c>
      <c r="W43" t="s">
        <v>99</v>
      </c>
      <c r="X43" t="s">
        <v>100</v>
      </c>
      <c r="Y43" t="s">
        <v>29</v>
      </c>
      <c r="Z43" t="s">
        <v>205</v>
      </c>
      <c r="AA43" t="s">
        <v>206</v>
      </c>
      <c r="AB43">
        <f t="shared" si="1"/>
        <v>4.9998948939479932</v>
      </c>
      <c r="AC43">
        <v>5708.52</v>
      </c>
      <c r="AD43">
        <v>0</v>
      </c>
      <c r="AE43">
        <v>142.71</v>
      </c>
      <c r="AF43">
        <v>142.71</v>
      </c>
    </row>
    <row r="44" spans="2:32" x14ac:dyDescent="0.25">
      <c r="B44" t="s">
        <v>47</v>
      </c>
      <c r="C44" t="s">
        <v>246</v>
      </c>
      <c r="D44" t="s">
        <v>51</v>
      </c>
      <c r="E44" t="s">
        <v>208</v>
      </c>
      <c r="F44" t="s">
        <v>244</v>
      </c>
      <c r="G44">
        <v>1265</v>
      </c>
      <c r="H44" t="s">
        <v>4</v>
      </c>
      <c r="I44" t="s">
        <v>210</v>
      </c>
      <c r="J44">
        <v>18</v>
      </c>
      <c r="O44">
        <v>0</v>
      </c>
      <c r="P44" t="s">
        <v>211</v>
      </c>
      <c r="Q44" t="s">
        <v>236</v>
      </c>
      <c r="R44" t="s">
        <v>213</v>
      </c>
      <c r="S44" t="s">
        <v>210</v>
      </c>
      <c r="V44" t="s">
        <v>98</v>
      </c>
      <c r="W44" t="s">
        <v>99</v>
      </c>
      <c r="X44" t="s">
        <v>101</v>
      </c>
      <c r="Y44" t="s">
        <v>10</v>
      </c>
      <c r="Z44" t="s">
        <v>205</v>
      </c>
      <c r="AA44" t="s">
        <v>206</v>
      </c>
      <c r="AB44">
        <f t="shared" si="1"/>
        <v>4.9999801886829838</v>
      </c>
      <c r="AC44">
        <v>5047.62</v>
      </c>
      <c r="AD44">
        <v>0</v>
      </c>
      <c r="AE44">
        <v>126.19</v>
      </c>
      <c r="AF44">
        <v>126.19</v>
      </c>
    </row>
    <row r="45" spans="2:32" x14ac:dyDescent="0.25">
      <c r="B45" t="s">
        <v>247</v>
      </c>
      <c r="C45" t="s">
        <v>248</v>
      </c>
      <c r="D45" t="s">
        <v>249</v>
      </c>
      <c r="E45" t="s">
        <v>208</v>
      </c>
      <c r="F45" t="s">
        <v>226</v>
      </c>
      <c r="G45">
        <v>4349.55</v>
      </c>
      <c r="H45" t="s">
        <v>4</v>
      </c>
      <c r="I45" t="s">
        <v>210</v>
      </c>
      <c r="J45">
        <v>5</v>
      </c>
      <c r="O45">
        <v>0</v>
      </c>
      <c r="P45" t="s">
        <v>210</v>
      </c>
      <c r="R45" t="s">
        <v>213</v>
      </c>
      <c r="S45" t="s">
        <v>210</v>
      </c>
      <c r="V45" t="s">
        <v>102</v>
      </c>
      <c r="W45" t="s">
        <v>103</v>
      </c>
      <c r="X45" t="s">
        <v>104</v>
      </c>
      <c r="Y45" t="s">
        <v>105</v>
      </c>
      <c r="Z45" t="s">
        <v>205</v>
      </c>
      <c r="AA45" t="s">
        <v>206</v>
      </c>
      <c r="AB45">
        <f t="shared" si="1"/>
        <v>5</v>
      </c>
      <c r="AC45">
        <v>3240</v>
      </c>
      <c r="AD45">
        <v>0</v>
      </c>
      <c r="AE45">
        <v>81</v>
      </c>
      <c r="AF45">
        <v>81</v>
      </c>
    </row>
    <row r="46" spans="2:32" x14ac:dyDescent="0.25">
      <c r="B46" t="s">
        <v>98</v>
      </c>
      <c r="C46" t="s">
        <v>250</v>
      </c>
      <c r="D46" t="s">
        <v>100</v>
      </c>
      <c r="E46" t="s">
        <v>208</v>
      </c>
      <c r="F46" t="s">
        <v>224</v>
      </c>
      <c r="G46">
        <v>5994</v>
      </c>
      <c r="H46" t="s">
        <v>4</v>
      </c>
      <c r="I46" t="s">
        <v>210</v>
      </c>
      <c r="J46">
        <v>5</v>
      </c>
      <c r="O46">
        <v>0</v>
      </c>
      <c r="P46" t="s">
        <v>211</v>
      </c>
      <c r="Q46" t="s">
        <v>232</v>
      </c>
      <c r="R46" t="s">
        <v>213</v>
      </c>
      <c r="S46" t="s">
        <v>210</v>
      </c>
      <c r="V46" t="s">
        <v>106</v>
      </c>
      <c r="W46" t="s">
        <v>107</v>
      </c>
      <c r="X46" t="s">
        <v>108</v>
      </c>
      <c r="Y46" t="s">
        <v>109</v>
      </c>
      <c r="Z46" t="s">
        <v>205</v>
      </c>
      <c r="AA46" t="s">
        <v>206</v>
      </c>
      <c r="AB46">
        <f t="shared" si="1"/>
        <v>5.0000488795185039</v>
      </c>
      <c r="AC46">
        <v>3068.77</v>
      </c>
      <c r="AD46">
        <v>0</v>
      </c>
      <c r="AE46">
        <v>76.72</v>
      </c>
      <c r="AF46">
        <v>76.72</v>
      </c>
    </row>
    <row r="47" spans="2:32" x14ac:dyDescent="0.25">
      <c r="B47" t="s">
        <v>98</v>
      </c>
      <c r="C47" t="s">
        <v>250</v>
      </c>
      <c r="D47" t="s">
        <v>101</v>
      </c>
      <c r="E47" t="s">
        <v>208</v>
      </c>
      <c r="F47" t="s">
        <v>245</v>
      </c>
      <c r="G47">
        <v>5300</v>
      </c>
      <c r="H47" t="s">
        <v>4</v>
      </c>
      <c r="I47" t="s">
        <v>210</v>
      </c>
      <c r="J47">
        <v>5</v>
      </c>
      <c r="O47">
        <v>0</v>
      </c>
      <c r="P47" t="s">
        <v>211</v>
      </c>
      <c r="Q47" t="s">
        <v>232</v>
      </c>
      <c r="R47" t="s">
        <v>213</v>
      </c>
      <c r="S47" t="s">
        <v>210</v>
      </c>
      <c r="V47" t="s">
        <v>106</v>
      </c>
      <c r="W47" t="s">
        <v>107</v>
      </c>
      <c r="X47" t="s">
        <v>110</v>
      </c>
      <c r="Y47" t="s">
        <v>111</v>
      </c>
      <c r="Z47" t="s">
        <v>205</v>
      </c>
      <c r="AA47" t="s">
        <v>206</v>
      </c>
      <c r="AB47">
        <f t="shared" si="1"/>
        <v>4.999954545867765</v>
      </c>
      <c r="AC47">
        <v>2200.02</v>
      </c>
      <c r="AD47">
        <v>0</v>
      </c>
      <c r="AE47">
        <v>55</v>
      </c>
      <c r="AF47">
        <v>55</v>
      </c>
    </row>
    <row r="48" spans="2:32" x14ac:dyDescent="0.25">
      <c r="B48" t="s">
        <v>177</v>
      </c>
      <c r="C48" t="s">
        <v>251</v>
      </c>
      <c r="D48" t="s">
        <v>179</v>
      </c>
      <c r="E48" t="s">
        <v>208</v>
      </c>
      <c r="F48" t="s">
        <v>231</v>
      </c>
      <c r="G48">
        <v>900.52</v>
      </c>
      <c r="H48" t="s">
        <v>4</v>
      </c>
      <c r="I48" t="s">
        <v>210</v>
      </c>
      <c r="J48">
        <v>18</v>
      </c>
      <c r="O48">
        <v>0</v>
      </c>
      <c r="P48" t="s">
        <v>211</v>
      </c>
      <c r="Q48" t="s">
        <v>232</v>
      </c>
      <c r="R48" t="s">
        <v>213</v>
      </c>
      <c r="S48" t="s">
        <v>210</v>
      </c>
      <c r="V48" t="s">
        <v>106</v>
      </c>
      <c r="W48" t="s">
        <v>107</v>
      </c>
      <c r="X48" t="s">
        <v>112</v>
      </c>
      <c r="Y48" t="s">
        <v>113</v>
      </c>
      <c r="Z48" t="s">
        <v>205</v>
      </c>
      <c r="AA48" t="s">
        <v>206</v>
      </c>
      <c r="AB48">
        <f t="shared" si="1"/>
        <v>4.999819994959859</v>
      </c>
      <c r="AC48">
        <v>1388.85</v>
      </c>
      <c r="AD48">
        <v>0</v>
      </c>
      <c r="AE48">
        <v>34.72</v>
      </c>
      <c r="AF48">
        <v>34.72</v>
      </c>
    </row>
    <row r="49" spans="2:32" x14ac:dyDescent="0.25">
      <c r="B49" t="s">
        <v>177</v>
      </c>
      <c r="C49" t="s">
        <v>251</v>
      </c>
      <c r="D49" t="s">
        <v>180</v>
      </c>
      <c r="E49" t="s">
        <v>208</v>
      </c>
      <c r="F49" t="s">
        <v>252</v>
      </c>
      <c r="G49">
        <v>2104.63</v>
      </c>
      <c r="H49" t="s">
        <v>4</v>
      </c>
      <c r="I49" t="s">
        <v>210</v>
      </c>
      <c r="J49">
        <v>5</v>
      </c>
      <c r="O49">
        <v>0</v>
      </c>
      <c r="P49" t="s">
        <v>211</v>
      </c>
      <c r="Q49" t="s">
        <v>232</v>
      </c>
      <c r="R49" t="s">
        <v>213</v>
      </c>
      <c r="S49" t="s">
        <v>210</v>
      </c>
      <c r="V49" t="s">
        <v>106</v>
      </c>
      <c r="W49" t="s">
        <v>107</v>
      </c>
      <c r="X49" t="s">
        <v>114</v>
      </c>
      <c r="Y49" t="s">
        <v>115</v>
      </c>
      <c r="Z49" t="s">
        <v>205</v>
      </c>
      <c r="AA49" t="s">
        <v>206</v>
      </c>
      <c r="AB49">
        <f t="shared" si="1"/>
        <v>5.0008654012577169</v>
      </c>
      <c r="AC49">
        <v>866.65</v>
      </c>
      <c r="AD49">
        <v>0</v>
      </c>
      <c r="AE49">
        <v>21.67</v>
      </c>
      <c r="AF49">
        <v>21.67</v>
      </c>
    </row>
    <row r="50" spans="2:32" x14ac:dyDescent="0.25">
      <c r="B50" t="s">
        <v>177</v>
      </c>
      <c r="C50" t="s">
        <v>251</v>
      </c>
      <c r="D50" t="s">
        <v>180</v>
      </c>
      <c r="E50" t="s">
        <v>208</v>
      </c>
      <c r="F50" t="s">
        <v>252</v>
      </c>
      <c r="G50">
        <v>2104.63</v>
      </c>
      <c r="H50" t="s">
        <v>4</v>
      </c>
      <c r="I50" t="s">
        <v>210</v>
      </c>
      <c r="J50">
        <v>18</v>
      </c>
      <c r="O50">
        <v>0</v>
      </c>
      <c r="P50" t="s">
        <v>211</v>
      </c>
      <c r="Q50" t="s">
        <v>232</v>
      </c>
      <c r="R50" t="s">
        <v>213</v>
      </c>
      <c r="S50" t="s">
        <v>210</v>
      </c>
      <c r="V50" t="s">
        <v>116</v>
      </c>
      <c r="W50" t="s">
        <v>117</v>
      </c>
      <c r="X50" t="s">
        <v>118</v>
      </c>
      <c r="Y50" t="s">
        <v>105</v>
      </c>
      <c r="Z50" t="s">
        <v>205</v>
      </c>
      <c r="AA50" t="s">
        <v>206</v>
      </c>
      <c r="AB50">
        <f t="shared" si="1"/>
        <v>5.0030078203328658</v>
      </c>
      <c r="AC50">
        <v>398.96</v>
      </c>
      <c r="AD50">
        <v>0</v>
      </c>
      <c r="AE50">
        <v>9.98</v>
      </c>
      <c r="AF50">
        <v>9.98</v>
      </c>
    </row>
    <row r="51" spans="2:32" x14ac:dyDescent="0.25">
      <c r="B51" t="s">
        <v>177</v>
      </c>
      <c r="C51" t="s">
        <v>251</v>
      </c>
      <c r="D51" t="s">
        <v>181</v>
      </c>
      <c r="E51" t="s">
        <v>208</v>
      </c>
      <c r="F51" t="s">
        <v>226</v>
      </c>
      <c r="G51">
        <v>1909.33</v>
      </c>
      <c r="H51" t="s">
        <v>4</v>
      </c>
      <c r="I51" t="s">
        <v>210</v>
      </c>
      <c r="J51">
        <v>5</v>
      </c>
      <c r="O51">
        <v>0</v>
      </c>
      <c r="P51" t="s">
        <v>211</v>
      </c>
      <c r="Q51" t="s">
        <v>232</v>
      </c>
      <c r="R51" t="s">
        <v>213</v>
      </c>
      <c r="S51" t="s">
        <v>210</v>
      </c>
      <c r="V51" t="s">
        <v>116</v>
      </c>
      <c r="W51" t="s">
        <v>117</v>
      </c>
      <c r="X51" t="s">
        <v>119</v>
      </c>
      <c r="Y51" t="s">
        <v>120</v>
      </c>
      <c r="Z51" t="s">
        <v>205</v>
      </c>
      <c r="AA51" t="s">
        <v>206</v>
      </c>
      <c r="AB51">
        <f t="shared" si="1"/>
        <v>4.9996004581413311</v>
      </c>
      <c r="AC51">
        <v>750.86</v>
      </c>
      <c r="AD51">
        <v>0</v>
      </c>
      <c r="AE51">
        <v>18.77</v>
      </c>
      <c r="AF51">
        <v>18.77</v>
      </c>
    </row>
    <row r="52" spans="2:32" x14ac:dyDescent="0.25">
      <c r="B52" t="s">
        <v>177</v>
      </c>
      <c r="C52" t="s">
        <v>251</v>
      </c>
      <c r="D52" t="s">
        <v>182</v>
      </c>
      <c r="E52" t="s">
        <v>208</v>
      </c>
      <c r="F52" t="s">
        <v>243</v>
      </c>
      <c r="G52">
        <v>3608.39</v>
      </c>
      <c r="H52" t="s">
        <v>4</v>
      </c>
      <c r="I52" t="s">
        <v>210</v>
      </c>
      <c r="J52">
        <v>5</v>
      </c>
      <c r="O52">
        <v>0</v>
      </c>
      <c r="P52" t="s">
        <v>211</v>
      </c>
      <c r="Q52" t="s">
        <v>232</v>
      </c>
      <c r="R52" t="s">
        <v>213</v>
      </c>
      <c r="S52" t="s">
        <v>210</v>
      </c>
      <c r="V52" t="s">
        <v>116</v>
      </c>
      <c r="W52" t="s">
        <v>117</v>
      </c>
      <c r="X52" t="s">
        <v>121</v>
      </c>
      <c r="Y52" t="s">
        <v>25</v>
      </c>
      <c r="Z52" t="s">
        <v>205</v>
      </c>
      <c r="AA52" t="s">
        <v>206</v>
      </c>
      <c r="AB52">
        <f t="shared" si="1"/>
        <v>4.9994412591440094</v>
      </c>
      <c r="AC52">
        <v>1163.33</v>
      </c>
      <c r="AD52">
        <v>0</v>
      </c>
      <c r="AE52">
        <v>29.08</v>
      </c>
      <c r="AF52">
        <v>29.08</v>
      </c>
    </row>
    <row r="53" spans="2:32" x14ac:dyDescent="0.25">
      <c r="B53" t="s">
        <v>177</v>
      </c>
      <c r="C53" t="s">
        <v>251</v>
      </c>
      <c r="D53" t="s">
        <v>183</v>
      </c>
      <c r="E53" t="s">
        <v>208</v>
      </c>
      <c r="F53" t="s">
        <v>245</v>
      </c>
      <c r="G53">
        <v>1555.61</v>
      </c>
      <c r="H53" t="s">
        <v>4</v>
      </c>
      <c r="I53" t="s">
        <v>210</v>
      </c>
      <c r="J53">
        <v>5</v>
      </c>
      <c r="O53">
        <v>0</v>
      </c>
      <c r="P53" t="s">
        <v>211</v>
      </c>
      <c r="Q53" t="s">
        <v>232</v>
      </c>
      <c r="R53" t="s">
        <v>213</v>
      </c>
      <c r="S53" t="s">
        <v>210</v>
      </c>
      <c r="V53" t="s">
        <v>122</v>
      </c>
      <c r="W53" t="s">
        <v>123</v>
      </c>
      <c r="X53" t="s">
        <v>124</v>
      </c>
      <c r="Y53" t="s">
        <v>57</v>
      </c>
      <c r="Z53" t="s">
        <v>205</v>
      </c>
      <c r="AA53" t="s">
        <v>206</v>
      </c>
      <c r="AB53">
        <f t="shared" si="1"/>
        <v>4.9990549990549988</v>
      </c>
      <c r="AC53">
        <v>211.64</v>
      </c>
      <c r="AD53">
        <v>0</v>
      </c>
      <c r="AE53">
        <v>5.29</v>
      </c>
      <c r="AF53">
        <v>5.29</v>
      </c>
    </row>
    <row r="54" spans="2:32" x14ac:dyDescent="0.25">
      <c r="B54" t="s">
        <v>35</v>
      </c>
      <c r="C54" t="s">
        <v>253</v>
      </c>
      <c r="D54" t="s">
        <v>37</v>
      </c>
      <c r="E54" t="s">
        <v>208</v>
      </c>
      <c r="F54" t="s">
        <v>226</v>
      </c>
      <c r="G54">
        <v>1078.5</v>
      </c>
      <c r="H54" t="s">
        <v>4</v>
      </c>
      <c r="I54" t="s">
        <v>210</v>
      </c>
      <c r="J54">
        <v>5</v>
      </c>
      <c r="O54">
        <v>0</v>
      </c>
      <c r="P54" t="s">
        <v>211</v>
      </c>
      <c r="Q54" t="s">
        <v>212</v>
      </c>
      <c r="R54" t="s">
        <v>213</v>
      </c>
      <c r="S54" t="s">
        <v>210</v>
      </c>
      <c r="V54" t="s">
        <v>122</v>
      </c>
      <c r="W54" t="s">
        <v>123</v>
      </c>
      <c r="X54" t="s">
        <v>125</v>
      </c>
      <c r="Y54" t="s">
        <v>50</v>
      </c>
      <c r="Z54" t="s">
        <v>205</v>
      </c>
      <c r="AA54" t="s">
        <v>206</v>
      </c>
      <c r="AB54">
        <f t="shared" si="1"/>
        <v>5.0011398109667349</v>
      </c>
      <c r="AC54">
        <v>570.27</v>
      </c>
      <c r="AD54">
        <v>0</v>
      </c>
      <c r="AE54">
        <v>14.26</v>
      </c>
      <c r="AF54">
        <v>14.26</v>
      </c>
    </row>
    <row r="55" spans="2:32" x14ac:dyDescent="0.25">
      <c r="B55" t="s">
        <v>35</v>
      </c>
      <c r="C55" t="s">
        <v>253</v>
      </c>
      <c r="D55" t="s">
        <v>38</v>
      </c>
      <c r="E55" t="s">
        <v>208</v>
      </c>
      <c r="F55" t="s">
        <v>243</v>
      </c>
      <c r="G55">
        <v>810.66</v>
      </c>
      <c r="H55" t="s">
        <v>4</v>
      </c>
      <c r="I55" t="s">
        <v>210</v>
      </c>
      <c r="J55">
        <v>5</v>
      </c>
      <c r="O55">
        <v>0</v>
      </c>
      <c r="P55" t="s">
        <v>211</v>
      </c>
      <c r="Q55" t="s">
        <v>212</v>
      </c>
      <c r="R55" t="s">
        <v>213</v>
      </c>
      <c r="S55" t="s">
        <v>210</v>
      </c>
      <c r="V55" t="s">
        <v>122</v>
      </c>
      <c r="W55" t="s">
        <v>123</v>
      </c>
      <c r="X55" t="s">
        <v>126</v>
      </c>
      <c r="Y55" t="s">
        <v>29</v>
      </c>
      <c r="Z55" t="s">
        <v>205</v>
      </c>
      <c r="AA55" t="s">
        <v>206</v>
      </c>
      <c r="AB55">
        <f t="shared" si="1"/>
        <v>5.0005622054809926</v>
      </c>
      <c r="AC55">
        <v>978.29</v>
      </c>
      <c r="AD55">
        <v>0</v>
      </c>
      <c r="AE55">
        <v>24.46</v>
      </c>
      <c r="AF55">
        <v>24.46</v>
      </c>
    </row>
    <row r="56" spans="2:32" x14ac:dyDescent="0.25">
      <c r="B56" t="s">
        <v>35</v>
      </c>
      <c r="C56" t="s">
        <v>253</v>
      </c>
      <c r="D56" t="s">
        <v>39</v>
      </c>
      <c r="E56" t="s">
        <v>208</v>
      </c>
      <c r="F56" t="s">
        <v>224</v>
      </c>
      <c r="G56">
        <v>6267.34</v>
      </c>
      <c r="H56" t="s">
        <v>4</v>
      </c>
      <c r="I56" t="s">
        <v>210</v>
      </c>
      <c r="J56">
        <v>5</v>
      </c>
      <c r="O56">
        <v>0</v>
      </c>
      <c r="P56" t="s">
        <v>211</v>
      </c>
      <c r="Q56" t="s">
        <v>212</v>
      </c>
      <c r="R56" t="s">
        <v>213</v>
      </c>
      <c r="S56" t="s">
        <v>210</v>
      </c>
      <c r="V56" t="s">
        <v>122</v>
      </c>
      <c r="W56" t="s">
        <v>123</v>
      </c>
      <c r="X56" t="s">
        <v>127</v>
      </c>
      <c r="Y56" t="s">
        <v>31</v>
      </c>
      <c r="Z56" t="s">
        <v>205</v>
      </c>
      <c r="AA56" t="s">
        <v>206</v>
      </c>
      <c r="AB56">
        <f t="shared" si="1"/>
        <v>4.9997654894235728</v>
      </c>
      <c r="AC56">
        <v>426.42</v>
      </c>
      <c r="AD56">
        <v>0</v>
      </c>
      <c r="AE56">
        <v>10.66</v>
      </c>
      <c r="AF56">
        <v>10.66</v>
      </c>
    </row>
    <row r="57" spans="2:32" x14ac:dyDescent="0.25">
      <c r="B57" t="s">
        <v>35</v>
      </c>
      <c r="C57" t="s">
        <v>253</v>
      </c>
      <c r="D57" t="s">
        <v>40</v>
      </c>
      <c r="E57" t="s">
        <v>208</v>
      </c>
      <c r="F57" t="s">
        <v>209</v>
      </c>
      <c r="G57">
        <v>8770.0300000000007</v>
      </c>
      <c r="H57" t="s">
        <v>4</v>
      </c>
      <c r="I57" t="s">
        <v>210</v>
      </c>
      <c r="J57">
        <v>5</v>
      </c>
      <c r="O57">
        <v>0</v>
      </c>
      <c r="P57" t="s">
        <v>211</v>
      </c>
      <c r="Q57" t="s">
        <v>212</v>
      </c>
      <c r="R57" t="s">
        <v>213</v>
      </c>
      <c r="S57" t="s">
        <v>210</v>
      </c>
      <c r="V57" t="s">
        <v>128</v>
      </c>
      <c r="W57" t="s">
        <v>129</v>
      </c>
      <c r="X57" t="s">
        <v>130</v>
      </c>
      <c r="Y57" t="s">
        <v>131</v>
      </c>
      <c r="Z57" t="s">
        <v>205</v>
      </c>
      <c r="AA57" t="s">
        <v>206</v>
      </c>
      <c r="AB57">
        <f t="shared" si="1"/>
        <v>5.0002045910225457</v>
      </c>
      <c r="AC57">
        <v>1466.34</v>
      </c>
      <c r="AD57">
        <v>0</v>
      </c>
      <c r="AE57">
        <v>36.659999999999997</v>
      </c>
      <c r="AF57">
        <v>36.659999999999997</v>
      </c>
    </row>
    <row r="58" spans="2:32" x14ac:dyDescent="0.25">
      <c r="B58" t="s">
        <v>95</v>
      </c>
      <c r="C58" t="s">
        <v>96</v>
      </c>
      <c r="D58" t="s">
        <v>97</v>
      </c>
      <c r="E58" t="s">
        <v>208</v>
      </c>
      <c r="F58" t="s">
        <v>231</v>
      </c>
      <c r="G58">
        <v>25260.01</v>
      </c>
      <c r="H58" t="s">
        <v>4</v>
      </c>
      <c r="I58" t="s">
        <v>210</v>
      </c>
      <c r="J58">
        <v>5</v>
      </c>
      <c r="O58">
        <v>0</v>
      </c>
      <c r="P58" t="s">
        <v>211</v>
      </c>
      <c r="Q58" t="s">
        <v>232</v>
      </c>
      <c r="R58" t="s">
        <v>213</v>
      </c>
      <c r="S58" t="s">
        <v>210</v>
      </c>
      <c r="V58" t="s">
        <v>128</v>
      </c>
      <c r="W58" t="s">
        <v>129</v>
      </c>
      <c r="X58" t="s">
        <v>132</v>
      </c>
      <c r="Y58" t="s">
        <v>133</v>
      </c>
      <c r="Z58" t="s">
        <v>205</v>
      </c>
      <c r="AA58" t="s">
        <v>206</v>
      </c>
      <c r="AB58">
        <f t="shared" si="1"/>
        <v>4.9989869960305251</v>
      </c>
      <c r="AC58">
        <v>1332.67</v>
      </c>
      <c r="AD58">
        <v>0</v>
      </c>
      <c r="AE58">
        <v>33.31</v>
      </c>
      <c r="AF58">
        <v>33.31</v>
      </c>
    </row>
    <row r="59" spans="2:32" x14ac:dyDescent="0.25">
      <c r="B59" t="s">
        <v>134</v>
      </c>
      <c r="C59" t="s">
        <v>254</v>
      </c>
      <c r="D59" t="s">
        <v>136</v>
      </c>
      <c r="E59" t="s">
        <v>208</v>
      </c>
      <c r="F59" t="s">
        <v>217</v>
      </c>
      <c r="G59">
        <v>1320</v>
      </c>
      <c r="H59" t="s">
        <v>4</v>
      </c>
      <c r="I59" t="s">
        <v>210</v>
      </c>
      <c r="J59">
        <v>5</v>
      </c>
      <c r="O59">
        <v>0</v>
      </c>
      <c r="P59" t="s">
        <v>211</v>
      </c>
      <c r="Q59" t="s">
        <v>227</v>
      </c>
      <c r="R59" t="s">
        <v>213</v>
      </c>
      <c r="S59" t="s">
        <v>210</v>
      </c>
      <c r="V59" t="s">
        <v>134</v>
      </c>
      <c r="W59" t="s">
        <v>135</v>
      </c>
      <c r="X59" t="s">
        <v>136</v>
      </c>
      <c r="Y59" t="s">
        <v>14</v>
      </c>
      <c r="Z59" t="s">
        <v>205</v>
      </c>
      <c r="AA59" t="s">
        <v>206</v>
      </c>
      <c r="AB59">
        <f t="shared" si="1"/>
        <v>4.9993637462620093</v>
      </c>
      <c r="AC59">
        <v>1257.3599999999999</v>
      </c>
      <c r="AD59">
        <v>0</v>
      </c>
      <c r="AE59">
        <v>31.43</v>
      </c>
      <c r="AF59">
        <v>31.43</v>
      </c>
    </row>
    <row r="60" spans="2:32" x14ac:dyDescent="0.25">
      <c r="B60" t="s">
        <v>134</v>
      </c>
      <c r="C60" t="s">
        <v>254</v>
      </c>
      <c r="D60" t="s">
        <v>137</v>
      </c>
      <c r="E60" t="s">
        <v>208</v>
      </c>
      <c r="F60" t="s">
        <v>239</v>
      </c>
      <c r="G60">
        <v>1000</v>
      </c>
      <c r="H60" t="s">
        <v>4</v>
      </c>
      <c r="I60" t="s">
        <v>210</v>
      </c>
      <c r="J60">
        <v>5</v>
      </c>
      <c r="O60">
        <v>0</v>
      </c>
      <c r="P60" t="s">
        <v>211</v>
      </c>
      <c r="Q60" t="s">
        <v>227</v>
      </c>
      <c r="R60" t="s">
        <v>213</v>
      </c>
      <c r="S60" t="s">
        <v>210</v>
      </c>
      <c r="V60" t="s">
        <v>134</v>
      </c>
      <c r="W60" t="s">
        <v>135</v>
      </c>
      <c r="X60" t="s">
        <v>137</v>
      </c>
      <c r="Y60" t="s">
        <v>21</v>
      </c>
      <c r="Z60" t="s">
        <v>205</v>
      </c>
      <c r="AA60" t="s">
        <v>206</v>
      </c>
      <c r="AB60">
        <f t="shared" si="1"/>
        <v>4.9991601578903166</v>
      </c>
      <c r="AC60">
        <v>952.56</v>
      </c>
      <c r="AD60">
        <v>0</v>
      </c>
      <c r="AE60">
        <v>23.81</v>
      </c>
      <c r="AF60">
        <v>23.81</v>
      </c>
    </row>
    <row r="61" spans="2:32" x14ac:dyDescent="0.25">
      <c r="B61" t="s">
        <v>116</v>
      </c>
      <c r="C61" t="s">
        <v>255</v>
      </c>
      <c r="D61" t="s">
        <v>118</v>
      </c>
      <c r="E61" t="s">
        <v>208</v>
      </c>
      <c r="F61" t="s">
        <v>256</v>
      </c>
      <c r="G61">
        <v>418.92</v>
      </c>
      <c r="H61" t="s">
        <v>4</v>
      </c>
      <c r="I61" t="s">
        <v>210</v>
      </c>
      <c r="J61">
        <v>5</v>
      </c>
      <c r="O61">
        <v>0</v>
      </c>
      <c r="P61" t="s">
        <v>211</v>
      </c>
      <c r="Q61" t="s">
        <v>212</v>
      </c>
      <c r="R61" t="s">
        <v>213</v>
      </c>
      <c r="S61" t="s">
        <v>210</v>
      </c>
      <c r="V61" t="s">
        <v>58</v>
      </c>
      <c r="W61" t="s">
        <v>59</v>
      </c>
      <c r="X61" t="s">
        <v>138</v>
      </c>
      <c r="Y61" t="s">
        <v>105</v>
      </c>
      <c r="Z61" t="s">
        <v>205</v>
      </c>
      <c r="AA61" t="s">
        <v>206</v>
      </c>
      <c r="AB61">
        <f t="shared" si="1"/>
        <v>4.9995624972656083</v>
      </c>
      <c r="AC61">
        <v>1828.56</v>
      </c>
      <c r="AD61">
        <v>0</v>
      </c>
      <c r="AE61">
        <v>45.71</v>
      </c>
      <c r="AF61">
        <v>45.71</v>
      </c>
    </row>
    <row r="62" spans="2:32" x14ac:dyDescent="0.25">
      <c r="B62" t="s">
        <v>116</v>
      </c>
      <c r="C62" t="s">
        <v>255</v>
      </c>
      <c r="D62" t="s">
        <v>119</v>
      </c>
      <c r="E62" t="s">
        <v>208</v>
      </c>
      <c r="F62" t="s">
        <v>257</v>
      </c>
      <c r="G62">
        <v>788.4</v>
      </c>
      <c r="H62" t="s">
        <v>4</v>
      </c>
      <c r="I62" t="s">
        <v>210</v>
      </c>
      <c r="J62">
        <v>5</v>
      </c>
      <c r="O62">
        <v>0</v>
      </c>
      <c r="P62" t="s">
        <v>211</v>
      </c>
      <c r="Q62" t="s">
        <v>212</v>
      </c>
      <c r="R62" t="s">
        <v>213</v>
      </c>
      <c r="S62" t="s">
        <v>210</v>
      </c>
      <c r="V62" t="s">
        <v>58</v>
      </c>
      <c r="W62" t="s">
        <v>59</v>
      </c>
      <c r="X62" t="s">
        <v>139</v>
      </c>
      <c r="Y62" t="s">
        <v>6</v>
      </c>
      <c r="Z62" t="s">
        <v>205</v>
      </c>
      <c r="AA62" t="s">
        <v>206</v>
      </c>
      <c r="AB62">
        <f t="shared" si="1"/>
        <v>4.999714465193307</v>
      </c>
      <c r="AC62">
        <v>700.44</v>
      </c>
      <c r="AD62">
        <v>0</v>
      </c>
      <c r="AE62">
        <v>17.510000000000002</v>
      </c>
      <c r="AF62">
        <v>17.510000000000002</v>
      </c>
    </row>
    <row r="63" spans="2:32" x14ac:dyDescent="0.25">
      <c r="B63" t="s">
        <v>116</v>
      </c>
      <c r="C63" t="s">
        <v>255</v>
      </c>
      <c r="D63" t="s">
        <v>121</v>
      </c>
      <c r="E63" t="s">
        <v>208</v>
      </c>
      <c r="F63" t="s">
        <v>258</v>
      </c>
      <c r="G63">
        <v>1221.49</v>
      </c>
      <c r="H63" t="s">
        <v>4</v>
      </c>
      <c r="I63" t="s">
        <v>210</v>
      </c>
      <c r="J63">
        <v>5</v>
      </c>
      <c r="O63">
        <v>0</v>
      </c>
      <c r="P63" t="s">
        <v>211</v>
      </c>
      <c r="Q63" t="s">
        <v>212</v>
      </c>
      <c r="R63" t="s">
        <v>213</v>
      </c>
      <c r="S63" t="s">
        <v>210</v>
      </c>
      <c r="V63" t="s">
        <v>140</v>
      </c>
      <c r="W63" t="s">
        <v>141</v>
      </c>
      <c r="X63" t="s">
        <v>142</v>
      </c>
      <c r="Y63" t="s">
        <v>56</v>
      </c>
      <c r="Z63" t="s">
        <v>205</v>
      </c>
      <c r="AA63" t="s">
        <v>206</v>
      </c>
      <c r="AB63">
        <f t="shared" si="1"/>
        <v>5</v>
      </c>
      <c r="AC63">
        <v>4617.6000000000004</v>
      </c>
      <c r="AD63">
        <v>0</v>
      </c>
      <c r="AE63">
        <v>115.44</v>
      </c>
      <c r="AF63">
        <v>115.44</v>
      </c>
    </row>
    <row r="64" spans="2:32" x14ac:dyDescent="0.25">
      <c r="B64" t="s">
        <v>160</v>
      </c>
      <c r="C64" t="s">
        <v>161</v>
      </c>
      <c r="D64" t="s">
        <v>162</v>
      </c>
      <c r="E64" t="s">
        <v>208</v>
      </c>
      <c r="F64" t="s">
        <v>244</v>
      </c>
      <c r="G64">
        <v>1191</v>
      </c>
      <c r="H64" t="s">
        <v>4</v>
      </c>
      <c r="I64" t="s">
        <v>210</v>
      </c>
      <c r="J64">
        <v>5</v>
      </c>
      <c r="O64">
        <v>0</v>
      </c>
      <c r="P64" t="s">
        <v>211</v>
      </c>
      <c r="Q64" t="s">
        <v>212</v>
      </c>
      <c r="R64" t="s">
        <v>213</v>
      </c>
      <c r="S64" t="s">
        <v>210</v>
      </c>
      <c r="V64" t="s">
        <v>143</v>
      </c>
      <c r="W64" t="s">
        <v>144</v>
      </c>
      <c r="X64" t="s">
        <v>145</v>
      </c>
      <c r="Y64" t="s">
        <v>50</v>
      </c>
      <c r="Z64" t="s">
        <v>205</v>
      </c>
      <c r="AA64" t="s">
        <v>206</v>
      </c>
      <c r="AB64">
        <f t="shared" si="1"/>
        <v>16.567012322932548</v>
      </c>
      <c r="AC64">
        <v>3430.19</v>
      </c>
      <c r="AD64">
        <v>0</v>
      </c>
      <c r="AE64">
        <v>284.14</v>
      </c>
      <c r="AF64">
        <v>284.14</v>
      </c>
    </row>
    <row r="65" spans="2:32" x14ac:dyDescent="0.25">
      <c r="B65" t="s">
        <v>32</v>
      </c>
      <c r="C65" t="s">
        <v>259</v>
      </c>
      <c r="D65" t="s">
        <v>34</v>
      </c>
      <c r="E65" t="s">
        <v>208</v>
      </c>
      <c r="F65" t="s">
        <v>260</v>
      </c>
      <c r="G65">
        <v>959.99</v>
      </c>
      <c r="H65" t="s">
        <v>4</v>
      </c>
      <c r="I65" t="s">
        <v>210</v>
      </c>
      <c r="J65">
        <v>5</v>
      </c>
      <c r="O65">
        <v>0</v>
      </c>
      <c r="P65" t="s">
        <v>211</v>
      </c>
      <c r="Q65" t="s">
        <v>227</v>
      </c>
      <c r="R65" t="s">
        <v>213</v>
      </c>
      <c r="S65" t="s">
        <v>210</v>
      </c>
      <c r="V65" t="s">
        <v>143</v>
      </c>
      <c r="W65" t="s">
        <v>144</v>
      </c>
      <c r="X65" t="s">
        <v>146</v>
      </c>
      <c r="Y65" t="s">
        <v>31</v>
      </c>
      <c r="Z65" t="s">
        <v>205</v>
      </c>
      <c r="AA65" t="s">
        <v>206</v>
      </c>
      <c r="AB65">
        <f t="shared" si="1"/>
        <v>11.289071159388163</v>
      </c>
      <c r="AC65">
        <v>360.88</v>
      </c>
      <c r="AD65">
        <v>0</v>
      </c>
      <c r="AE65">
        <v>20.37</v>
      </c>
      <c r="AF65">
        <v>20.37</v>
      </c>
    </row>
    <row r="66" spans="2:32" x14ac:dyDescent="0.25">
      <c r="B66" t="s">
        <v>147</v>
      </c>
      <c r="C66" t="s">
        <v>261</v>
      </c>
      <c r="D66" t="s">
        <v>149</v>
      </c>
      <c r="E66" t="s">
        <v>208</v>
      </c>
      <c r="F66" t="s">
        <v>258</v>
      </c>
      <c r="G66">
        <v>19320</v>
      </c>
      <c r="H66" t="s">
        <v>4</v>
      </c>
      <c r="I66" t="s">
        <v>210</v>
      </c>
      <c r="J66">
        <v>5</v>
      </c>
      <c r="O66">
        <v>0</v>
      </c>
      <c r="P66" t="s">
        <v>211</v>
      </c>
      <c r="Q66" t="s">
        <v>212</v>
      </c>
      <c r="R66" t="s">
        <v>213</v>
      </c>
      <c r="S66" t="s">
        <v>210</v>
      </c>
      <c r="V66" t="s">
        <v>147</v>
      </c>
      <c r="W66" t="s">
        <v>148</v>
      </c>
      <c r="X66" t="s">
        <v>149</v>
      </c>
      <c r="Y66" t="s">
        <v>25</v>
      </c>
      <c r="Z66" t="s">
        <v>205</v>
      </c>
      <c r="AA66" t="s">
        <v>206</v>
      </c>
      <c r="AB66">
        <f t="shared" ref="AB66:AB91" si="2">SUM(AD66:AF66)/AC66*100</f>
        <v>5.0000054347885161</v>
      </c>
      <c r="AC66">
        <v>18399.98</v>
      </c>
      <c r="AD66">
        <v>0</v>
      </c>
      <c r="AE66">
        <v>460</v>
      </c>
      <c r="AF66">
        <v>460</v>
      </c>
    </row>
    <row r="67" spans="2:32" x14ac:dyDescent="0.25">
      <c r="B67" t="s">
        <v>85</v>
      </c>
      <c r="C67" t="s">
        <v>262</v>
      </c>
      <c r="D67" t="s">
        <v>87</v>
      </c>
      <c r="E67" t="s">
        <v>208</v>
      </c>
      <c r="F67" t="s">
        <v>258</v>
      </c>
      <c r="G67">
        <v>6350</v>
      </c>
      <c r="H67" t="s">
        <v>4</v>
      </c>
      <c r="I67" t="s">
        <v>210</v>
      </c>
      <c r="J67">
        <v>5</v>
      </c>
      <c r="O67">
        <v>0</v>
      </c>
      <c r="P67" t="s">
        <v>211</v>
      </c>
      <c r="Q67" t="s">
        <v>263</v>
      </c>
      <c r="R67" t="s">
        <v>213</v>
      </c>
      <c r="S67" t="s">
        <v>210</v>
      </c>
      <c r="V67" t="s">
        <v>150</v>
      </c>
      <c r="W67" t="s">
        <v>151</v>
      </c>
      <c r="X67" t="s">
        <v>152</v>
      </c>
      <c r="Y67" t="s">
        <v>65</v>
      </c>
      <c r="Z67" t="s">
        <v>205</v>
      </c>
      <c r="AA67" t="s">
        <v>206</v>
      </c>
      <c r="AB67">
        <f t="shared" si="2"/>
        <v>4.9997230990751502</v>
      </c>
      <c r="AC67">
        <v>1805.7</v>
      </c>
      <c r="AD67">
        <v>0</v>
      </c>
      <c r="AE67">
        <v>45.14</v>
      </c>
      <c r="AF67">
        <v>45.14</v>
      </c>
    </row>
    <row r="68" spans="2:32" x14ac:dyDescent="0.25">
      <c r="B68" t="s">
        <v>26</v>
      </c>
      <c r="C68" t="s">
        <v>264</v>
      </c>
      <c r="D68" t="s">
        <v>28</v>
      </c>
      <c r="E68" t="s">
        <v>208</v>
      </c>
      <c r="F68" t="s">
        <v>224</v>
      </c>
      <c r="G68">
        <v>847</v>
      </c>
      <c r="H68" t="s">
        <v>4</v>
      </c>
      <c r="I68" t="s">
        <v>210</v>
      </c>
      <c r="J68">
        <v>5</v>
      </c>
      <c r="O68">
        <v>0</v>
      </c>
      <c r="P68" t="s">
        <v>211</v>
      </c>
      <c r="Q68" t="s">
        <v>227</v>
      </c>
      <c r="R68" t="s">
        <v>213</v>
      </c>
      <c r="S68" t="s">
        <v>210</v>
      </c>
      <c r="V68" t="s">
        <v>153</v>
      </c>
      <c r="W68" t="s">
        <v>154</v>
      </c>
      <c r="X68" t="s">
        <v>155</v>
      </c>
      <c r="Y68" t="s">
        <v>14</v>
      </c>
      <c r="Z68" t="s">
        <v>205</v>
      </c>
      <c r="AA68" t="s">
        <v>206</v>
      </c>
      <c r="AB68">
        <f t="shared" si="2"/>
        <v>4.9983449189010258</v>
      </c>
      <c r="AC68">
        <v>483.36</v>
      </c>
      <c r="AD68">
        <v>0</v>
      </c>
      <c r="AE68">
        <v>12.08</v>
      </c>
      <c r="AF68">
        <v>12.08</v>
      </c>
    </row>
    <row r="69" spans="2:32" x14ac:dyDescent="0.25">
      <c r="B69" t="s">
        <v>26</v>
      </c>
      <c r="C69" t="s">
        <v>264</v>
      </c>
      <c r="D69" t="s">
        <v>30</v>
      </c>
      <c r="E69" t="s">
        <v>208</v>
      </c>
      <c r="F69" t="s">
        <v>209</v>
      </c>
      <c r="G69">
        <v>19521</v>
      </c>
      <c r="H69" t="s">
        <v>4</v>
      </c>
      <c r="I69" t="s">
        <v>210</v>
      </c>
      <c r="J69">
        <v>5</v>
      </c>
      <c r="O69">
        <v>0</v>
      </c>
      <c r="P69" t="s">
        <v>211</v>
      </c>
      <c r="Q69" t="s">
        <v>227</v>
      </c>
      <c r="R69" t="s">
        <v>213</v>
      </c>
      <c r="S69" t="s">
        <v>210</v>
      </c>
      <c r="V69" t="s">
        <v>153</v>
      </c>
      <c r="W69" t="s">
        <v>154</v>
      </c>
      <c r="X69" t="s">
        <v>156</v>
      </c>
      <c r="Y69" t="s">
        <v>21</v>
      </c>
      <c r="Z69" t="s">
        <v>205</v>
      </c>
      <c r="AA69" t="s">
        <v>206</v>
      </c>
      <c r="AB69">
        <f t="shared" si="2"/>
        <v>5.0007442968255749</v>
      </c>
      <c r="AC69">
        <v>2149.6799999999998</v>
      </c>
      <c r="AD69">
        <v>0</v>
      </c>
      <c r="AE69">
        <v>53.75</v>
      </c>
      <c r="AF69">
        <v>53.75</v>
      </c>
    </row>
    <row r="70" spans="2:32" x14ac:dyDescent="0.25">
      <c r="B70" t="s">
        <v>11</v>
      </c>
      <c r="C70" t="s">
        <v>12</v>
      </c>
      <c r="D70" t="s">
        <v>13</v>
      </c>
      <c r="E70" t="s">
        <v>208</v>
      </c>
      <c r="F70" t="s">
        <v>217</v>
      </c>
      <c r="G70">
        <v>6092.04</v>
      </c>
      <c r="H70" t="s">
        <v>4</v>
      </c>
      <c r="I70" t="s">
        <v>210</v>
      </c>
      <c r="J70">
        <v>5</v>
      </c>
      <c r="O70">
        <v>0</v>
      </c>
      <c r="P70" t="s">
        <v>211</v>
      </c>
      <c r="Q70" t="s">
        <v>227</v>
      </c>
      <c r="R70" t="s">
        <v>213</v>
      </c>
      <c r="S70" t="s">
        <v>210</v>
      </c>
      <c r="V70" t="s">
        <v>41</v>
      </c>
      <c r="W70" t="s">
        <v>42</v>
      </c>
      <c r="X70" t="s">
        <v>157</v>
      </c>
      <c r="Y70" t="s">
        <v>131</v>
      </c>
      <c r="Z70" t="s">
        <v>205</v>
      </c>
      <c r="AA70" t="s">
        <v>206</v>
      </c>
      <c r="AB70">
        <f t="shared" si="2"/>
        <v>5.0000554962714432</v>
      </c>
      <c r="AC70">
        <v>12613.46</v>
      </c>
      <c r="AD70">
        <v>0</v>
      </c>
      <c r="AE70">
        <v>315.33999999999997</v>
      </c>
      <c r="AF70">
        <v>315.33999999999997</v>
      </c>
    </row>
    <row r="71" spans="2:32" x14ac:dyDescent="0.25">
      <c r="B71" t="s">
        <v>11</v>
      </c>
      <c r="C71" t="s">
        <v>12</v>
      </c>
      <c r="D71" t="s">
        <v>13</v>
      </c>
      <c r="E71" t="s">
        <v>208</v>
      </c>
      <c r="F71" t="s">
        <v>217</v>
      </c>
      <c r="G71">
        <v>6092.04</v>
      </c>
      <c r="H71" t="s">
        <v>4</v>
      </c>
      <c r="I71" t="s">
        <v>210</v>
      </c>
      <c r="J71">
        <v>18</v>
      </c>
      <c r="O71">
        <v>0</v>
      </c>
      <c r="P71" t="s">
        <v>211</v>
      </c>
      <c r="Q71" t="s">
        <v>227</v>
      </c>
      <c r="R71" t="s">
        <v>213</v>
      </c>
      <c r="S71" t="s">
        <v>210</v>
      </c>
      <c r="V71" t="s">
        <v>41</v>
      </c>
      <c r="W71" t="s">
        <v>42</v>
      </c>
      <c r="X71" t="s">
        <v>158</v>
      </c>
      <c r="Y71" t="s">
        <v>159</v>
      </c>
      <c r="Z71" t="s">
        <v>205</v>
      </c>
      <c r="AA71" t="s">
        <v>206</v>
      </c>
      <c r="AB71">
        <f t="shared" si="2"/>
        <v>4.9999099980199562</v>
      </c>
      <c r="AC71">
        <v>3333.26</v>
      </c>
      <c r="AD71">
        <v>0</v>
      </c>
      <c r="AE71">
        <v>83.33</v>
      </c>
      <c r="AF71">
        <v>83.33</v>
      </c>
    </row>
    <row r="72" spans="2:32" x14ac:dyDescent="0.25">
      <c r="B72" t="s">
        <v>11</v>
      </c>
      <c r="C72" t="s">
        <v>12</v>
      </c>
      <c r="D72" t="s">
        <v>15</v>
      </c>
      <c r="E72" t="s">
        <v>208</v>
      </c>
      <c r="F72" t="s">
        <v>217</v>
      </c>
      <c r="G72">
        <v>363.11</v>
      </c>
      <c r="H72" t="s">
        <v>4</v>
      </c>
      <c r="I72" t="s">
        <v>210</v>
      </c>
      <c r="J72">
        <v>5</v>
      </c>
      <c r="O72">
        <v>0</v>
      </c>
      <c r="P72" t="s">
        <v>211</v>
      </c>
      <c r="Q72" t="s">
        <v>227</v>
      </c>
      <c r="R72" t="s">
        <v>213</v>
      </c>
      <c r="S72" t="s">
        <v>210</v>
      </c>
      <c r="V72" t="s">
        <v>160</v>
      </c>
      <c r="W72" t="s">
        <v>161</v>
      </c>
      <c r="X72" t="s">
        <v>162</v>
      </c>
      <c r="Y72" t="s">
        <v>8</v>
      </c>
      <c r="Z72" t="s">
        <v>205</v>
      </c>
      <c r="AA72" t="s">
        <v>206</v>
      </c>
      <c r="AB72">
        <f t="shared" si="2"/>
        <v>5.0005289699192446</v>
      </c>
      <c r="AC72">
        <v>1134.28</v>
      </c>
      <c r="AD72">
        <v>0</v>
      </c>
      <c r="AE72">
        <v>28.36</v>
      </c>
      <c r="AF72">
        <v>28.36</v>
      </c>
    </row>
    <row r="73" spans="2:32" x14ac:dyDescent="0.25">
      <c r="B73" t="s">
        <v>11</v>
      </c>
      <c r="C73" t="s">
        <v>12</v>
      </c>
      <c r="D73" t="s">
        <v>15</v>
      </c>
      <c r="E73" t="s">
        <v>208</v>
      </c>
      <c r="F73" t="s">
        <v>217</v>
      </c>
      <c r="G73">
        <v>363.11</v>
      </c>
      <c r="H73" t="s">
        <v>4</v>
      </c>
      <c r="I73" t="s">
        <v>210</v>
      </c>
      <c r="J73">
        <v>18</v>
      </c>
      <c r="O73">
        <v>0</v>
      </c>
      <c r="P73" t="s">
        <v>211</v>
      </c>
      <c r="Q73" t="s">
        <v>227</v>
      </c>
      <c r="R73" t="s">
        <v>213</v>
      </c>
      <c r="S73" t="s">
        <v>210</v>
      </c>
      <c r="V73" t="s">
        <v>163</v>
      </c>
      <c r="W73" t="s">
        <v>164</v>
      </c>
      <c r="X73" t="s">
        <v>165</v>
      </c>
      <c r="Y73" t="s">
        <v>166</v>
      </c>
      <c r="Z73" t="s">
        <v>205</v>
      </c>
      <c r="AA73" t="s">
        <v>206</v>
      </c>
      <c r="AB73">
        <f t="shared" si="2"/>
        <v>2.5752343434789071</v>
      </c>
      <c r="AC73">
        <v>14053.09</v>
      </c>
      <c r="AD73">
        <v>0</v>
      </c>
      <c r="AE73">
        <v>180.95</v>
      </c>
      <c r="AF73">
        <v>180.95</v>
      </c>
    </row>
    <row r="74" spans="2:32" x14ac:dyDescent="0.25">
      <c r="B74" t="s">
        <v>11</v>
      </c>
      <c r="C74" t="s">
        <v>12</v>
      </c>
      <c r="D74" t="s">
        <v>16</v>
      </c>
      <c r="E74" t="s">
        <v>208</v>
      </c>
      <c r="F74" t="s">
        <v>260</v>
      </c>
      <c r="G74">
        <v>5919.14</v>
      </c>
      <c r="H74" t="s">
        <v>4</v>
      </c>
      <c r="I74" t="s">
        <v>210</v>
      </c>
      <c r="J74">
        <v>5</v>
      </c>
      <c r="O74">
        <v>0</v>
      </c>
      <c r="P74" t="s">
        <v>211</v>
      </c>
      <c r="Q74" t="s">
        <v>227</v>
      </c>
      <c r="R74" t="s">
        <v>213</v>
      </c>
      <c r="S74" t="s">
        <v>210</v>
      </c>
      <c r="V74" t="s">
        <v>163</v>
      </c>
      <c r="W74" t="s">
        <v>164</v>
      </c>
      <c r="X74" t="s">
        <v>167</v>
      </c>
      <c r="Y74" t="s">
        <v>57</v>
      </c>
      <c r="Z74" t="s">
        <v>205</v>
      </c>
      <c r="AA74" t="s">
        <v>206</v>
      </c>
      <c r="AB74">
        <f t="shared" si="2"/>
        <v>4.9999870069460863</v>
      </c>
      <c r="AC74">
        <v>30785.68</v>
      </c>
      <c r="AD74">
        <v>0</v>
      </c>
      <c r="AE74">
        <v>769.64</v>
      </c>
      <c r="AF74">
        <v>769.64</v>
      </c>
    </row>
    <row r="75" spans="2:32" x14ac:dyDescent="0.25">
      <c r="B75" t="s">
        <v>11</v>
      </c>
      <c r="C75" t="s">
        <v>12</v>
      </c>
      <c r="D75" t="s">
        <v>16</v>
      </c>
      <c r="E75" t="s">
        <v>208</v>
      </c>
      <c r="F75" t="s">
        <v>260</v>
      </c>
      <c r="G75">
        <v>5919.14</v>
      </c>
      <c r="H75" t="s">
        <v>4</v>
      </c>
      <c r="I75" t="s">
        <v>210</v>
      </c>
      <c r="J75">
        <v>18</v>
      </c>
      <c r="O75">
        <v>0</v>
      </c>
      <c r="P75" t="s">
        <v>211</v>
      </c>
      <c r="Q75" t="s">
        <v>227</v>
      </c>
      <c r="R75" t="s">
        <v>213</v>
      </c>
      <c r="S75" t="s">
        <v>210</v>
      </c>
      <c r="V75" t="s">
        <v>163</v>
      </c>
      <c r="W75" t="s">
        <v>164</v>
      </c>
      <c r="X75" t="s">
        <v>168</v>
      </c>
      <c r="Y75" t="s">
        <v>29</v>
      </c>
      <c r="Z75" t="s">
        <v>205</v>
      </c>
      <c r="AA75" t="s">
        <v>206</v>
      </c>
      <c r="AB75">
        <f t="shared" si="2"/>
        <v>4.8925626629240702</v>
      </c>
      <c r="AC75">
        <v>42815.19</v>
      </c>
      <c r="AD75">
        <v>0</v>
      </c>
      <c r="AE75">
        <v>1047.3800000000001</v>
      </c>
      <c r="AF75">
        <v>1047.3800000000001</v>
      </c>
    </row>
    <row r="76" spans="2:32" x14ac:dyDescent="0.25">
      <c r="B76" t="s">
        <v>11</v>
      </c>
      <c r="C76" t="s">
        <v>12</v>
      </c>
      <c r="D76" t="s">
        <v>18</v>
      </c>
      <c r="E76" t="s">
        <v>208</v>
      </c>
      <c r="F76" t="s">
        <v>244</v>
      </c>
      <c r="G76">
        <v>6837.7</v>
      </c>
      <c r="H76" t="s">
        <v>4</v>
      </c>
      <c r="I76" t="s">
        <v>210</v>
      </c>
      <c r="J76">
        <v>5</v>
      </c>
      <c r="O76">
        <v>0</v>
      </c>
      <c r="P76" t="s">
        <v>211</v>
      </c>
      <c r="Q76" t="s">
        <v>227</v>
      </c>
      <c r="R76" t="s">
        <v>213</v>
      </c>
      <c r="S76" t="s">
        <v>210</v>
      </c>
      <c r="V76" t="s">
        <v>163</v>
      </c>
      <c r="W76" t="s">
        <v>164</v>
      </c>
      <c r="X76" t="s">
        <v>169</v>
      </c>
      <c r="Y76" t="s">
        <v>21</v>
      </c>
      <c r="Z76" t="s">
        <v>205</v>
      </c>
      <c r="AA76" t="s">
        <v>206</v>
      </c>
      <c r="AB76">
        <f t="shared" si="2"/>
        <v>4.9999336206553213</v>
      </c>
      <c r="AC76">
        <v>8285.7099999999991</v>
      </c>
      <c r="AD76">
        <v>0</v>
      </c>
      <c r="AE76">
        <v>207.14</v>
      </c>
      <c r="AF76">
        <v>207.14</v>
      </c>
    </row>
    <row r="77" spans="2:32" x14ac:dyDescent="0.25">
      <c r="B77" t="s">
        <v>11</v>
      </c>
      <c r="C77" t="s">
        <v>12</v>
      </c>
      <c r="D77" t="s">
        <v>18</v>
      </c>
      <c r="E77" t="s">
        <v>208</v>
      </c>
      <c r="F77" t="s">
        <v>244</v>
      </c>
      <c r="G77">
        <v>6837.7</v>
      </c>
      <c r="H77" t="s">
        <v>4</v>
      </c>
      <c r="I77" t="s">
        <v>210</v>
      </c>
      <c r="J77">
        <v>18</v>
      </c>
      <c r="O77">
        <v>0</v>
      </c>
      <c r="P77" t="s">
        <v>211</v>
      </c>
      <c r="Q77" t="s">
        <v>227</v>
      </c>
      <c r="R77" t="s">
        <v>213</v>
      </c>
      <c r="S77" t="s">
        <v>210</v>
      </c>
      <c r="V77" t="s">
        <v>150</v>
      </c>
      <c r="W77" t="s">
        <v>151</v>
      </c>
      <c r="X77" t="s">
        <v>170</v>
      </c>
      <c r="Y77" t="s">
        <v>171</v>
      </c>
      <c r="Z77" t="s">
        <v>205</v>
      </c>
      <c r="AA77" t="s">
        <v>206</v>
      </c>
      <c r="AB77">
        <f t="shared" si="2"/>
        <v>5.000656254101588</v>
      </c>
      <c r="AC77">
        <v>1219.04</v>
      </c>
      <c r="AD77">
        <v>0</v>
      </c>
      <c r="AE77">
        <v>30.48</v>
      </c>
      <c r="AF77">
        <v>30.48</v>
      </c>
    </row>
    <row r="78" spans="2:32" x14ac:dyDescent="0.25">
      <c r="B78" t="s">
        <v>11</v>
      </c>
      <c r="C78" t="s">
        <v>12</v>
      </c>
      <c r="D78" t="s">
        <v>19</v>
      </c>
      <c r="E78" t="s">
        <v>208</v>
      </c>
      <c r="F78" t="s">
        <v>244</v>
      </c>
      <c r="G78">
        <v>156.12</v>
      </c>
      <c r="H78" t="s">
        <v>4</v>
      </c>
      <c r="I78" t="s">
        <v>210</v>
      </c>
      <c r="J78">
        <v>5</v>
      </c>
      <c r="O78">
        <v>0</v>
      </c>
      <c r="P78" t="s">
        <v>211</v>
      </c>
      <c r="Q78" t="s">
        <v>227</v>
      </c>
      <c r="R78" t="s">
        <v>213</v>
      </c>
      <c r="S78" t="s">
        <v>210</v>
      </c>
      <c r="V78" t="s">
        <v>172</v>
      </c>
      <c r="W78" t="s">
        <v>173</v>
      </c>
      <c r="X78" t="s">
        <v>174</v>
      </c>
      <c r="Y78" t="s">
        <v>3</v>
      </c>
      <c r="Z78" t="s">
        <v>205</v>
      </c>
      <c r="AA78" t="s">
        <v>206</v>
      </c>
      <c r="AB78">
        <f t="shared" si="2"/>
        <v>5.0000185974543809</v>
      </c>
      <c r="AC78">
        <v>21508.32</v>
      </c>
      <c r="AD78">
        <v>0</v>
      </c>
      <c r="AE78">
        <v>537.71</v>
      </c>
      <c r="AF78">
        <v>537.71</v>
      </c>
    </row>
    <row r="79" spans="2:32" x14ac:dyDescent="0.25">
      <c r="B79" t="s">
        <v>11</v>
      </c>
      <c r="C79" t="s">
        <v>12</v>
      </c>
      <c r="D79" t="s">
        <v>20</v>
      </c>
      <c r="E79" t="s">
        <v>208</v>
      </c>
      <c r="F79" t="s">
        <v>239</v>
      </c>
      <c r="G79">
        <v>603.28</v>
      </c>
      <c r="H79" t="s">
        <v>4</v>
      </c>
      <c r="I79" t="s">
        <v>210</v>
      </c>
      <c r="J79">
        <v>5</v>
      </c>
      <c r="O79">
        <v>0</v>
      </c>
      <c r="P79" t="s">
        <v>211</v>
      </c>
      <c r="Q79" t="s">
        <v>227</v>
      </c>
      <c r="R79" t="s">
        <v>213</v>
      </c>
      <c r="S79" t="s">
        <v>210</v>
      </c>
      <c r="V79" t="s">
        <v>172</v>
      </c>
      <c r="W79" t="s">
        <v>173</v>
      </c>
      <c r="X79" t="s">
        <v>175</v>
      </c>
      <c r="Y79" t="s">
        <v>44</v>
      </c>
      <c r="Z79" t="s">
        <v>205</v>
      </c>
      <c r="AA79" t="s">
        <v>206</v>
      </c>
      <c r="AB79">
        <f t="shared" si="2"/>
        <v>5</v>
      </c>
      <c r="AC79">
        <v>16077.6</v>
      </c>
      <c r="AD79">
        <v>0</v>
      </c>
      <c r="AE79">
        <v>401.94</v>
      </c>
      <c r="AF79">
        <v>401.94</v>
      </c>
    </row>
    <row r="80" spans="2:32" x14ac:dyDescent="0.25">
      <c r="B80" t="s">
        <v>11</v>
      </c>
      <c r="C80" t="s">
        <v>12</v>
      </c>
      <c r="D80" t="s">
        <v>20</v>
      </c>
      <c r="E80" t="s">
        <v>208</v>
      </c>
      <c r="F80" t="s">
        <v>239</v>
      </c>
      <c r="G80">
        <v>603.28</v>
      </c>
      <c r="H80" t="s">
        <v>4</v>
      </c>
      <c r="I80" t="s">
        <v>210</v>
      </c>
      <c r="J80">
        <v>18</v>
      </c>
      <c r="O80">
        <v>0</v>
      </c>
      <c r="P80" t="s">
        <v>211</v>
      </c>
      <c r="Q80" t="s">
        <v>227</v>
      </c>
      <c r="R80" t="s">
        <v>213</v>
      </c>
      <c r="S80" t="s">
        <v>210</v>
      </c>
      <c r="V80" t="s">
        <v>172</v>
      </c>
      <c r="W80" t="s">
        <v>173</v>
      </c>
      <c r="X80" t="s">
        <v>176</v>
      </c>
      <c r="Y80" t="s">
        <v>23</v>
      </c>
      <c r="Z80" t="s">
        <v>205</v>
      </c>
      <c r="AA80" t="s">
        <v>206</v>
      </c>
      <c r="AB80">
        <f t="shared" si="2"/>
        <v>5</v>
      </c>
      <c r="AC80">
        <v>21470.400000000001</v>
      </c>
      <c r="AD80">
        <v>0</v>
      </c>
      <c r="AE80">
        <v>536.76</v>
      </c>
      <c r="AF80">
        <v>536.76</v>
      </c>
    </row>
    <row r="81" spans="2:32" x14ac:dyDescent="0.25">
      <c r="B81" t="s">
        <v>11</v>
      </c>
      <c r="C81" t="s">
        <v>12</v>
      </c>
      <c r="D81" t="s">
        <v>22</v>
      </c>
      <c r="E81" t="s">
        <v>208</v>
      </c>
      <c r="F81" t="s">
        <v>229</v>
      </c>
      <c r="G81">
        <v>1220.9000000000001</v>
      </c>
      <c r="H81" t="s">
        <v>4</v>
      </c>
      <c r="I81" t="s">
        <v>210</v>
      </c>
      <c r="J81">
        <v>5</v>
      </c>
      <c r="O81">
        <v>0</v>
      </c>
      <c r="P81" t="s">
        <v>211</v>
      </c>
      <c r="Q81" t="s">
        <v>227</v>
      </c>
      <c r="R81" t="s">
        <v>213</v>
      </c>
      <c r="S81" t="s">
        <v>210</v>
      </c>
      <c r="V81" t="s">
        <v>177</v>
      </c>
      <c r="W81" t="s">
        <v>178</v>
      </c>
      <c r="X81" t="s">
        <v>179</v>
      </c>
      <c r="Y81" t="s">
        <v>79</v>
      </c>
      <c r="Z81" t="s">
        <v>205</v>
      </c>
      <c r="AA81" t="s">
        <v>206</v>
      </c>
      <c r="AB81">
        <f t="shared" si="2"/>
        <v>18.001939355819378</v>
      </c>
      <c r="AC81">
        <v>763.14</v>
      </c>
      <c r="AD81">
        <v>0</v>
      </c>
      <c r="AE81">
        <v>68.69</v>
      </c>
      <c r="AF81">
        <v>68.69</v>
      </c>
    </row>
    <row r="82" spans="2:32" x14ac:dyDescent="0.25">
      <c r="B82" t="s">
        <v>11</v>
      </c>
      <c r="C82" t="s">
        <v>12</v>
      </c>
      <c r="D82" t="s">
        <v>22</v>
      </c>
      <c r="E82" t="s">
        <v>208</v>
      </c>
      <c r="F82" t="s">
        <v>229</v>
      </c>
      <c r="G82">
        <v>1220.9000000000001</v>
      </c>
      <c r="H82" t="s">
        <v>4</v>
      </c>
      <c r="I82" t="s">
        <v>210</v>
      </c>
      <c r="J82">
        <v>18</v>
      </c>
      <c r="O82">
        <v>0</v>
      </c>
      <c r="P82" t="s">
        <v>211</v>
      </c>
      <c r="Q82" t="s">
        <v>227</v>
      </c>
      <c r="R82" t="s">
        <v>213</v>
      </c>
      <c r="S82" t="s">
        <v>210</v>
      </c>
      <c r="V82" t="s">
        <v>177</v>
      </c>
      <c r="W82" t="s">
        <v>178</v>
      </c>
      <c r="X82" t="s">
        <v>180</v>
      </c>
      <c r="Y82" t="s">
        <v>74</v>
      </c>
      <c r="Z82" t="s">
        <v>205</v>
      </c>
      <c r="AA82" t="s">
        <v>206</v>
      </c>
      <c r="AB82">
        <f t="shared" si="2"/>
        <v>6.4444343291810178</v>
      </c>
      <c r="AC82">
        <v>1977.21</v>
      </c>
      <c r="AD82">
        <v>0</v>
      </c>
      <c r="AE82">
        <v>63.71</v>
      </c>
      <c r="AF82">
        <v>63.71</v>
      </c>
    </row>
    <row r="83" spans="2:32" x14ac:dyDescent="0.25">
      <c r="B83" t="s">
        <v>11</v>
      </c>
      <c r="C83" t="s">
        <v>12</v>
      </c>
      <c r="D83" t="s">
        <v>24</v>
      </c>
      <c r="E83" t="s">
        <v>208</v>
      </c>
      <c r="F83" t="s">
        <v>258</v>
      </c>
      <c r="G83">
        <v>968.22</v>
      </c>
      <c r="H83" t="s">
        <v>4</v>
      </c>
      <c r="I83" t="s">
        <v>210</v>
      </c>
      <c r="J83">
        <v>5</v>
      </c>
      <c r="O83">
        <v>0</v>
      </c>
      <c r="P83" t="s">
        <v>211</v>
      </c>
      <c r="Q83" t="s">
        <v>227</v>
      </c>
      <c r="R83" t="s">
        <v>213</v>
      </c>
      <c r="S83" t="s">
        <v>210</v>
      </c>
      <c r="V83" t="s">
        <v>177</v>
      </c>
      <c r="W83" t="s">
        <v>178</v>
      </c>
      <c r="X83" t="s">
        <v>181</v>
      </c>
      <c r="Y83" t="s">
        <v>3</v>
      </c>
      <c r="Z83" t="s">
        <v>205</v>
      </c>
      <c r="AA83" t="s">
        <v>206</v>
      </c>
      <c r="AB83">
        <f t="shared" si="2"/>
        <v>4.9988176613892206</v>
      </c>
      <c r="AC83">
        <v>1818.43</v>
      </c>
      <c r="AD83">
        <v>0</v>
      </c>
      <c r="AE83">
        <v>45.45</v>
      </c>
      <c r="AF83">
        <v>45.45</v>
      </c>
    </row>
    <row r="84" spans="2:32" x14ac:dyDescent="0.25">
      <c r="B84" t="s">
        <v>11</v>
      </c>
      <c r="C84" t="s">
        <v>12</v>
      </c>
      <c r="D84" t="s">
        <v>24</v>
      </c>
      <c r="E84" t="s">
        <v>208</v>
      </c>
      <c r="F84" t="s">
        <v>258</v>
      </c>
      <c r="G84">
        <v>968.22</v>
      </c>
      <c r="H84" t="s">
        <v>4</v>
      </c>
      <c r="I84" t="s">
        <v>210</v>
      </c>
      <c r="J84">
        <v>18</v>
      </c>
      <c r="O84">
        <v>0</v>
      </c>
      <c r="P84" t="s">
        <v>211</v>
      </c>
      <c r="Q84" t="s">
        <v>227</v>
      </c>
      <c r="R84" t="s">
        <v>213</v>
      </c>
      <c r="S84" t="s">
        <v>210</v>
      </c>
      <c r="V84" t="s">
        <v>177</v>
      </c>
      <c r="W84" t="s">
        <v>178</v>
      </c>
      <c r="X84" t="s">
        <v>182</v>
      </c>
      <c r="Y84" t="s">
        <v>6</v>
      </c>
      <c r="Z84" t="s">
        <v>205</v>
      </c>
      <c r="AA84" t="s">
        <v>206</v>
      </c>
      <c r="AB84">
        <f t="shared" si="2"/>
        <v>5.0003637368872855</v>
      </c>
      <c r="AC84">
        <v>3436.55</v>
      </c>
      <c r="AD84">
        <v>0</v>
      </c>
      <c r="AE84">
        <v>85.92</v>
      </c>
      <c r="AF84">
        <v>85.92</v>
      </c>
    </row>
    <row r="85" spans="2:32" x14ac:dyDescent="0.25">
      <c r="B85" t="s">
        <v>88</v>
      </c>
      <c r="C85" t="s">
        <v>265</v>
      </c>
      <c r="D85" t="s">
        <v>90</v>
      </c>
      <c r="E85" t="s">
        <v>208</v>
      </c>
      <c r="F85" t="s">
        <v>266</v>
      </c>
      <c r="G85">
        <v>5688</v>
      </c>
      <c r="H85" t="s">
        <v>4</v>
      </c>
      <c r="I85" t="s">
        <v>210</v>
      </c>
      <c r="J85">
        <v>5</v>
      </c>
      <c r="O85">
        <v>0</v>
      </c>
      <c r="P85" t="s">
        <v>211</v>
      </c>
      <c r="Q85" t="s">
        <v>267</v>
      </c>
      <c r="R85" t="s">
        <v>213</v>
      </c>
      <c r="S85" t="s">
        <v>210</v>
      </c>
      <c r="V85" t="s">
        <v>177</v>
      </c>
      <c r="W85" t="s">
        <v>178</v>
      </c>
      <c r="X85" t="s">
        <v>183</v>
      </c>
      <c r="Y85" t="s">
        <v>10</v>
      </c>
      <c r="Z85" t="s">
        <v>205</v>
      </c>
      <c r="AA85" t="s">
        <v>206</v>
      </c>
      <c r="AB85">
        <f t="shared" si="2"/>
        <v>4.9988188046302859</v>
      </c>
      <c r="AC85">
        <v>1481.55</v>
      </c>
      <c r="AD85">
        <v>0</v>
      </c>
      <c r="AE85">
        <v>37.03</v>
      </c>
      <c r="AF85">
        <v>37.03</v>
      </c>
    </row>
    <row r="86" spans="2:32" x14ac:dyDescent="0.25">
      <c r="B86" t="s">
        <v>92</v>
      </c>
      <c r="C86" t="s">
        <v>93</v>
      </c>
      <c r="D86" t="s">
        <v>94</v>
      </c>
      <c r="E86" t="s">
        <v>208</v>
      </c>
      <c r="F86" t="s">
        <v>209</v>
      </c>
      <c r="G86">
        <v>27842</v>
      </c>
      <c r="H86" t="s">
        <v>4</v>
      </c>
      <c r="I86" t="s">
        <v>210</v>
      </c>
      <c r="J86">
        <v>0</v>
      </c>
      <c r="O86">
        <v>0</v>
      </c>
      <c r="P86" t="s">
        <v>211</v>
      </c>
      <c r="Q86" t="s">
        <v>232</v>
      </c>
      <c r="R86" t="s">
        <v>213</v>
      </c>
      <c r="S86" t="s">
        <v>210</v>
      </c>
      <c r="V86" t="s">
        <v>184</v>
      </c>
      <c r="W86" t="s">
        <v>185</v>
      </c>
      <c r="X86" t="s">
        <v>186</v>
      </c>
      <c r="Y86" t="s">
        <v>57</v>
      </c>
      <c r="Z86" t="s">
        <v>205</v>
      </c>
      <c r="AA86" t="s">
        <v>206</v>
      </c>
      <c r="AB86">
        <f t="shared" si="2"/>
        <v>5.0000857868368671</v>
      </c>
      <c r="AC86">
        <v>4662.72</v>
      </c>
      <c r="AD86">
        <v>0</v>
      </c>
      <c r="AE86">
        <v>116.57</v>
      </c>
      <c r="AF86">
        <v>116.57</v>
      </c>
    </row>
    <row r="87" spans="2:32" x14ac:dyDescent="0.25">
      <c r="B87" t="s">
        <v>92</v>
      </c>
      <c r="C87" t="s">
        <v>93</v>
      </c>
      <c r="D87" t="s">
        <v>94</v>
      </c>
      <c r="E87" t="s">
        <v>208</v>
      </c>
      <c r="F87" t="s">
        <v>209</v>
      </c>
      <c r="G87">
        <v>27842</v>
      </c>
      <c r="H87" t="s">
        <v>4</v>
      </c>
      <c r="I87" t="s">
        <v>210</v>
      </c>
      <c r="J87">
        <v>5</v>
      </c>
      <c r="O87">
        <v>0</v>
      </c>
      <c r="P87" t="s">
        <v>211</v>
      </c>
      <c r="Q87" t="s">
        <v>232</v>
      </c>
      <c r="R87" t="s">
        <v>213</v>
      </c>
      <c r="S87" t="s">
        <v>210</v>
      </c>
      <c r="V87" t="s">
        <v>184</v>
      </c>
      <c r="W87" t="s">
        <v>185</v>
      </c>
      <c r="X87" t="s">
        <v>187</v>
      </c>
      <c r="Y87" t="s">
        <v>14</v>
      </c>
      <c r="Z87" t="s">
        <v>205</v>
      </c>
      <c r="AA87" t="s">
        <v>206</v>
      </c>
      <c r="AB87">
        <f t="shared" si="2"/>
        <v>5.0000259262139943</v>
      </c>
      <c r="AC87">
        <v>38571</v>
      </c>
      <c r="AD87">
        <v>0</v>
      </c>
      <c r="AE87">
        <v>964.28</v>
      </c>
      <c r="AF87">
        <v>964.28</v>
      </c>
    </row>
    <row r="88" spans="2:32" x14ac:dyDescent="0.25">
      <c r="B88" t="s">
        <v>92</v>
      </c>
      <c r="C88" t="s">
        <v>93</v>
      </c>
      <c r="D88" t="s">
        <v>94</v>
      </c>
      <c r="E88" t="s">
        <v>208</v>
      </c>
      <c r="F88" t="s">
        <v>209</v>
      </c>
      <c r="G88">
        <v>27842</v>
      </c>
      <c r="H88" t="s">
        <v>4</v>
      </c>
      <c r="I88" t="s">
        <v>210</v>
      </c>
      <c r="J88">
        <v>18</v>
      </c>
      <c r="O88">
        <v>0</v>
      </c>
      <c r="P88" t="s">
        <v>211</v>
      </c>
      <c r="Q88" t="s">
        <v>232</v>
      </c>
      <c r="R88" t="s">
        <v>213</v>
      </c>
      <c r="S88" t="s">
        <v>210</v>
      </c>
      <c r="V88" t="s">
        <v>184</v>
      </c>
      <c r="W88" t="s">
        <v>185</v>
      </c>
      <c r="X88" t="s">
        <v>188</v>
      </c>
      <c r="Y88" t="s">
        <v>46</v>
      </c>
      <c r="Z88" t="s">
        <v>205</v>
      </c>
      <c r="AA88" t="s">
        <v>206</v>
      </c>
      <c r="AB88">
        <f t="shared" si="2"/>
        <v>5.0000867769312212</v>
      </c>
      <c r="AC88">
        <v>11523.8</v>
      </c>
      <c r="AD88">
        <v>0</v>
      </c>
      <c r="AE88">
        <v>288.10000000000002</v>
      </c>
      <c r="AF88">
        <v>288.10000000000002</v>
      </c>
    </row>
    <row r="89" spans="2:32" x14ac:dyDescent="0.25">
      <c r="B89" t="s">
        <v>58</v>
      </c>
      <c r="C89" t="s">
        <v>268</v>
      </c>
      <c r="D89" t="s">
        <v>138</v>
      </c>
      <c r="E89" t="s">
        <v>208</v>
      </c>
      <c r="F89" t="s">
        <v>256</v>
      </c>
      <c r="G89">
        <v>1920</v>
      </c>
      <c r="H89" t="s">
        <v>4</v>
      </c>
      <c r="I89" t="s">
        <v>210</v>
      </c>
      <c r="J89">
        <v>5</v>
      </c>
      <c r="O89">
        <v>0</v>
      </c>
      <c r="P89" t="s">
        <v>211</v>
      </c>
      <c r="Q89" t="s">
        <v>227</v>
      </c>
      <c r="R89" t="s">
        <v>213</v>
      </c>
      <c r="S89" t="s">
        <v>210</v>
      </c>
      <c r="V89" t="s">
        <v>189</v>
      </c>
      <c r="W89" t="s">
        <v>190</v>
      </c>
      <c r="X89" t="s">
        <v>191</v>
      </c>
      <c r="Y89" t="s">
        <v>14</v>
      </c>
      <c r="Z89" t="s">
        <v>205</v>
      </c>
      <c r="AA89" t="s">
        <v>206</v>
      </c>
      <c r="AB89">
        <f t="shared" si="2"/>
        <v>4.1086967414360398</v>
      </c>
      <c r="AC89">
        <v>1796.19</v>
      </c>
      <c r="AD89">
        <v>0</v>
      </c>
      <c r="AE89">
        <v>36.9</v>
      </c>
      <c r="AF89">
        <v>36.9</v>
      </c>
    </row>
    <row r="90" spans="2:32" x14ac:dyDescent="0.25">
      <c r="B90" t="s">
        <v>58</v>
      </c>
      <c r="C90" t="s">
        <v>268</v>
      </c>
      <c r="D90" t="s">
        <v>139</v>
      </c>
      <c r="E90" t="s">
        <v>208</v>
      </c>
      <c r="F90" t="s">
        <v>243</v>
      </c>
      <c r="G90">
        <v>735</v>
      </c>
      <c r="H90" t="s">
        <v>4</v>
      </c>
      <c r="I90" t="s">
        <v>210</v>
      </c>
      <c r="J90">
        <v>5</v>
      </c>
      <c r="O90">
        <v>0</v>
      </c>
      <c r="P90" t="s">
        <v>211</v>
      </c>
      <c r="Q90" t="s">
        <v>227</v>
      </c>
      <c r="R90" t="s">
        <v>213</v>
      </c>
      <c r="S90" t="s">
        <v>210</v>
      </c>
      <c r="V90" t="s">
        <v>189</v>
      </c>
      <c r="W90" t="s">
        <v>190</v>
      </c>
      <c r="X90" t="s">
        <v>192</v>
      </c>
      <c r="Y90" t="s">
        <v>17</v>
      </c>
      <c r="Z90" t="s">
        <v>205</v>
      </c>
      <c r="AA90" t="s">
        <v>206</v>
      </c>
      <c r="AB90">
        <f t="shared" si="2"/>
        <v>5.0004921744266166</v>
      </c>
      <c r="AC90">
        <v>1523.85</v>
      </c>
      <c r="AD90">
        <v>0</v>
      </c>
      <c r="AE90">
        <v>38.1</v>
      </c>
      <c r="AF90">
        <v>38.1</v>
      </c>
    </row>
    <row r="91" spans="2:32" x14ac:dyDescent="0.25">
      <c r="B91" t="s">
        <v>143</v>
      </c>
      <c r="C91" t="s">
        <v>269</v>
      </c>
      <c r="D91" t="s">
        <v>145</v>
      </c>
      <c r="E91" t="s">
        <v>208</v>
      </c>
      <c r="F91" t="s">
        <v>223</v>
      </c>
      <c r="G91">
        <v>3998</v>
      </c>
      <c r="H91" t="s">
        <v>4</v>
      </c>
      <c r="I91" t="s">
        <v>210</v>
      </c>
      <c r="J91">
        <v>18</v>
      </c>
      <c r="O91">
        <v>0</v>
      </c>
      <c r="P91" t="s">
        <v>211</v>
      </c>
      <c r="Q91" t="s">
        <v>232</v>
      </c>
      <c r="R91" t="s">
        <v>213</v>
      </c>
      <c r="S91" t="s">
        <v>210</v>
      </c>
      <c r="V91" t="s">
        <v>189</v>
      </c>
      <c r="W91" t="s">
        <v>190</v>
      </c>
      <c r="X91" t="s">
        <v>193</v>
      </c>
      <c r="Y91" t="s">
        <v>21</v>
      </c>
      <c r="Z91" t="s">
        <v>205</v>
      </c>
      <c r="AA91" t="s">
        <v>206</v>
      </c>
      <c r="AB91">
        <f t="shared" si="2"/>
        <v>5.0002476350849392</v>
      </c>
      <c r="AC91">
        <v>1009.55</v>
      </c>
      <c r="AD91">
        <v>0</v>
      </c>
      <c r="AE91">
        <v>25.24</v>
      </c>
      <c r="AF91">
        <v>25.24</v>
      </c>
    </row>
    <row r="92" spans="2:32" x14ac:dyDescent="0.25">
      <c r="B92" t="s">
        <v>143</v>
      </c>
      <c r="C92" t="s">
        <v>269</v>
      </c>
      <c r="D92" t="s">
        <v>145</v>
      </c>
      <c r="E92" t="s">
        <v>208</v>
      </c>
      <c r="F92" t="s">
        <v>223</v>
      </c>
      <c r="G92">
        <v>3998</v>
      </c>
      <c r="H92" t="s">
        <v>4</v>
      </c>
      <c r="I92" t="s">
        <v>210</v>
      </c>
      <c r="J92">
        <v>5</v>
      </c>
      <c r="O92">
        <v>0</v>
      </c>
      <c r="P92" t="s">
        <v>211</v>
      </c>
      <c r="Q92" t="s">
        <v>232</v>
      </c>
      <c r="R92" t="s">
        <v>213</v>
      </c>
      <c r="S92" t="s">
        <v>210</v>
      </c>
    </row>
    <row r="93" spans="2:32" x14ac:dyDescent="0.25">
      <c r="B93" t="s">
        <v>143</v>
      </c>
      <c r="C93" t="s">
        <v>269</v>
      </c>
      <c r="D93" t="s">
        <v>146</v>
      </c>
      <c r="E93" t="s">
        <v>208</v>
      </c>
      <c r="F93" t="s">
        <v>209</v>
      </c>
      <c r="G93">
        <v>402</v>
      </c>
      <c r="H93" t="s">
        <v>4</v>
      </c>
      <c r="I93" t="s">
        <v>210</v>
      </c>
      <c r="J93">
        <v>0</v>
      </c>
      <c r="O93">
        <v>0</v>
      </c>
      <c r="P93" t="s">
        <v>211</v>
      </c>
      <c r="Q93" t="s">
        <v>232</v>
      </c>
      <c r="R93" t="s">
        <v>213</v>
      </c>
      <c r="S93" t="s">
        <v>210</v>
      </c>
    </row>
    <row r="94" spans="2:32" x14ac:dyDescent="0.25">
      <c r="B94" t="s">
        <v>143</v>
      </c>
      <c r="C94" t="s">
        <v>269</v>
      </c>
      <c r="D94" t="s">
        <v>146</v>
      </c>
      <c r="E94" t="s">
        <v>208</v>
      </c>
      <c r="F94" t="s">
        <v>209</v>
      </c>
      <c r="G94">
        <v>402</v>
      </c>
      <c r="H94" t="s">
        <v>4</v>
      </c>
      <c r="I94" t="s">
        <v>210</v>
      </c>
      <c r="J94">
        <v>18</v>
      </c>
      <c r="O94">
        <v>0</v>
      </c>
      <c r="P94" t="s">
        <v>211</v>
      </c>
      <c r="Q94" t="s">
        <v>232</v>
      </c>
      <c r="R94" t="s">
        <v>213</v>
      </c>
      <c r="S94" t="s">
        <v>210</v>
      </c>
    </row>
    <row r="95" spans="2:32" x14ac:dyDescent="0.25">
      <c r="B95" t="s">
        <v>143</v>
      </c>
      <c r="C95" t="s">
        <v>269</v>
      </c>
      <c r="D95" t="s">
        <v>146</v>
      </c>
      <c r="E95" t="s">
        <v>208</v>
      </c>
      <c r="F95" t="s">
        <v>209</v>
      </c>
      <c r="G95">
        <v>402</v>
      </c>
      <c r="H95" t="s">
        <v>4</v>
      </c>
      <c r="I95" t="s">
        <v>210</v>
      </c>
      <c r="J95">
        <v>5</v>
      </c>
      <c r="O95">
        <v>0</v>
      </c>
      <c r="P95" t="s">
        <v>211</v>
      </c>
      <c r="Q95" t="s">
        <v>232</v>
      </c>
      <c r="R95" t="s">
        <v>213</v>
      </c>
      <c r="S95" t="s">
        <v>210</v>
      </c>
    </row>
    <row r="96" spans="2:32" x14ac:dyDescent="0.25">
      <c r="B96" t="s">
        <v>102</v>
      </c>
      <c r="C96" t="s">
        <v>103</v>
      </c>
      <c r="D96" t="s">
        <v>104</v>
      </c>
      <c r="E96" t="s">
        <v>208</v>
      </c>
      <c r="F96" t="s">
        <v>256</v>
      </c>
      <c r="G96">
        <v>3402</v>
      </c>
      <c r="H96" t="s">
        <v>4</v>
      </c>
      <c r="I96" t="s">
        <v>210</v>
      </c>
      <c r="J96">
        <v>5</v>
      </c>
      <c r="O96">
        <v>0</v>
      </c>
      <c r="P96" t="s">
        <v>211</v>
      </c>
      <c r="Q96" t="s">
        <v>241</v>
      </c>
      <c r="R96" t="s">
        <v>213</v>
      </c>
      <c r="S96" t="s">
        <v>210</v>
      </c>
    </row>
    <row r="97" spans="2:19" x14ac:dyDescent="0.25">
      <c r="B97" t="s">
        <v>66</v>
      </c>
      <c r="C97" t="s">
        <v>67</v>
      </c>
      <c r="D97" t="s">
        <v>68</v>
      </c>
      <c r="E97" t="s">
        <v>208</v>
      </c>
      <c r="F97" t="s">
        <v>223</v>
      </c>
      <c r="G97">
        <v>9949</v>
      </c>
      <c r="H97" t="s">
        <v>4</v>
      </c>
      <c r="I97" t="s">
        <v>210</v>
      </c>
      <c r="J97">
        <v>5</v>
      </c>
      <c r="O97">
        <v>0</v>
      </c>
      <c r="P97" t="s">
        <v>211</v>
      </c>
      <c r="Q97" t="s">
        <v>236</v>
      </c>
      <c r="R97" t="s">
        <v>213</v>
      </c>
      <c r="S97" t="s">
        <v>210</v>
      </c>
    </row>
    <row r="98" spans="2:19" x14ac:dyDescent="0.25">
      <c r="B98" t="s">
        <v>189</v>
      </c>
      <c r="C98" t="s">
        <v>270</v>
      </c>
      <c r="D98" t="s">
        <v>191</v>
      </c>
      <c r="E98" t="s">
        <v>208</v>
      </c>
      <c r="F98" t="s">
        <v>217</v>
      </c>
      <c r="G98">
        <v>1870</v>
      </c>
      <c r="H98" t="s">
        <v>4</v>
      </c>
      <c r="I98" t="s">
        <v>210</v>
      </c>
      <c r="J98">
        <v>0</v>
      </c>
      <c r="O98">
        <v>0</v>
      </c>
      <c r="P98" t="s">
        <v>211</v>
      </c>
      <c r="Q98" t="s">
        <v>227</v>
      </c>
      <c r="R98" t="s">
        <v>213</v>
      </c>
      <c r="S98" t="s">
        <v>210</v>
      </c>
    </row>
    <row r="99" spans="2:19" x14ac:dyDescent="0.25">
      <c r="B99" t="s">
        <v>189</v>
      </c>
      <c r="C99" t="s">
        <v>270</v>
      </c>
      <c r="D99" t="s">
        <v>191</v>
      </c>
      <c r="E99" t="s">
        <v>208</v>
      </c>
      <c r="F99" t="s">
        <v>217</v>
      </c>
      <c r="G99">
        <v>1870</v>
      </c>
      <c r="H99" t="s">
        <v>4</v>
      </c>
      <c r="I99" t="s">
        <v>210</v>
      </c>
      <c r="J99">
        <v>5</v>
      </c>
      <c r="O99">
        <v>0</v>
      </c>
      <c r="P99" t="s">
        <v>211</v>
      </c>
      <c r="Q99" t="s">
        <v>227</v>
      </c>
      <c r="R99" t="s">
        <v>213</v>
      </c>
      <c r="S99" t="s">
        <v>210</v>
      </c>
    </row>
    <row r="100" spans="2:19" x14ac:dyDescent="0.25">
      <c r="B100" t="s">
        <v>189</v>
      </c>
      <c r="C100" t="s">
        <v>270</v>
      </c>
      <c r="D100" t="s">
        <v>192</v>
      </c>
      <c r="E100" t="s">
        <v>208</v>
      </c>
      <c r="F100" t="s">
        <v>260</v>
      </c>
      <c r="G100">
        <v>1600</v>
      </c>
      <c r="H100" t="s">
        <v>4</v>
      </c>
      <c r="I100" t="s">
        <v>210</v>
      </c>
      <c r="J100">
        <v>5</v>
      </c>
      <c r="O100">
        <v>0</v>
      </c>
      <c r="P100" t="s">
        <v>211</v>
      </c>
      <c r="Q100" t="s">
        <v>227</v>
      </c>
      <c r="R100" t="s">
        <v>213</v>
      </c>
      <c r="S100" t="s">
        <v>210</v>
      </c>
    </row>
    <row r="101" spans="2:19" x14ac:dyDescent="0.25">
      <c r="B101" t="s">
        <v>189</v>
      </c>
      <c r="C101" t="s">
        <v>270</v>
      </c>
      <c r="D101" t="s">
        <v>193</v>
      </c>
      <c r="E101" t="s">
        <v>208</v>
      </c>
      <c r="F101" t="s">
        <v>239</v>
      </c>
      <c r="G101">
        <v>1060</v>
      </c>
      <c r="H101" t="s">
        <v>4</v>
      </c>
      <c r="I101" t="s">
        <v>210</v>
      </c>
      <c r="J101">
        <v>5</v>
      </c>
      <c r="O101">
        <v>0</v>
      </c>
      <c r="P101" t="s">
        <v>211</v>
      </c>
      <c r="Q101" t="s">
        <v>227</v>
      </c>
      <c r="R101" t="s">
        <v>213</v>
      </c>
      <c r="S101" t="s">
        <v>210</v>
      </c>
    </row>
    <row r="102" spans="2:19" x14ac:dyDescent="0.25">
      <c r="B102" t="s">
        <v>140</v>
      </c>
      <c r="C102" t="s">
        <v>141</v>
      </c>
      <c r="D102" t="s">
        <v>142</v>
      </c>
      <c r="E102" t="s">
        <v>208</v>
      </c>
      <c r="F102" t="s">
        <v>214</v>
      </c>
      <c r="G102">
        <v>4848</v>
      </c>
      <c r="H102" t="s">
        <v>4</v>
      </c>
      <c r="I102" t="s">
        <v>210</v>
      </c>
      <c r="J102">
        <v>5</v>
      </c>
      <c r="O102">
        <v>0</v>
      </c>
      <c r="P102" t="s">
        <v>211</v>
      </c>
      <c r="Q102" t="s">
        <v>227</v>
      </c>
      <c r="R102" t="s">
        <v>213</v>
      </c>
      <c r="S102" t="s">
        <v>210</v>
      </c>
    </row>
    <row r="103" spans="2:19" x14ac:dyDescent="0.25">
      <c r="B103" t="s">
        <v>106</v>
      </c>
      <c r="C103" t="s">
        <v>271</v>
      </c>
      <c r="D103" t="s">
        <v>272</v>
      </c>
      <c r="E103" t="s">
        <v>208</v>
      </c>
      <c r="F103" t="s">
        <v>224</v>
      </c>
      <c r="G103">
        <v>2880</v>
      </c>
      <c r="H103" t="s">
        <v>4</v>
      </c>
      <c r="I103" t="s">
        <v>210</v>
      </c>
      <c r="J103">
        <v>5</v>
      </c>
      <c r="O103">
        <v>0</v>
      </c>
      <c r="P103" t="s">
        <v>211</v>
      </c>
      <c r="Q103" t="s">
        <v>273</v>
      </c>
      <c r="R103" t="s">
        <v>213</v>
      </c>
      <c r="S103" t="s">
        <v>210</v>
      </c>
    </row>
    <row r="104" spans="2:19" x14ac:dyDescent="0.25">
      <c r="B104" t="s">
        <v>106</v>
      </c>
      <c r="C104" t="s">
        <v>271</v>
      </c>
      <c r="D104" t="s">
        <v>274</v>
      </c>
      <c r="E104" t="s">
        <v>208</v>
      </c>
      <c r="F104" t="s">
        <v>209</v>
      </c>
      <c r="G104">
        <v>4203.71</v>
      </c>
      <c r="H104" t="s">
        <v>4</v>
      </c>
      <c r="I104" t="s">
        <v>210</v>
      </c>
      <c r="J104">
        <v>5</v>
      </c>
      <c r="O104">
        <v>0</v>
      </c>
      <c r="P104" t="s">
        <v>211</v>
      </c>
      <c r="Q104" t="s">
        <v>273</v>
      </c>
      <c r="R104" t="s">
        <v>213</v>
      </c>
      <c r="S104" t="s">
        <v>210</v>
      </c>
    </row>
    <row r="105" spans="2:19" x14ac:dyDescent="0.25">
      <c r="B105" t="s">
        <v>106</v>
      </c>
      <c r="C105" t="s">
        <v>271</v>
      </c>
      <c r="D105" t="s">
        <v>275</v>
      </c>
      <c r="E105" t="s">
        <v>208</v>
      </c>
      <c r="F105" t="s">
        <v>215</v>
      </c>
      <c r="G105">
        <v>6850.09</v>
      </c>
      <c r="H105" t="s">
        <v>4</v>
      </c>
      <c r="I105" t="s">
        <v>210</v>
      </c>
      <c r="J105">
        <v>5</v>
      </c>
      <c r="O105">
        <v>0</v>
      </c>
      <c r="P105" t="s">
        <v>211</v>
      </c>
      <c r="Q105" t="s">
        <v>273</v>
      </c>
      <c r="R105" t="s">
        <v>213</v>
      </c>
      <c r="S105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06"/>
  <sheetViews>
    <sheetView workbookViewId="0">
      <selection activeCell="A13" sqref="A13"/>
    </sheetView>
  </sheetViews>
  <sheetFormatPr defaultRowHeight="15" x14ac:dyDescent="0.25"/>
  <cols>
    <col min="1" max="1" width="18.140625" bestFit="1" customWidth="1"/>
    <col min="2" max="3" width="37.140625" bestFit="1" customWidth="1"/>
    <col min="4" max="4" width="17.85546875" bestFit="1" customWidth="1"/>
    <col min="5" max="5" width="37.140625" bestFit="1" customWidth="1"/>
  </cols>
  <sheetData>
    <row r="2" spans="1:5" x14ac:dyDescent="0.25">
      <c r="A2" t="s">
        <v>276</v>
      </c>
      <c r="D2" t="s">
        <v>277</v>
      </c>
    </row>
    <row r="3" spans="1:5" x14ac:dyDescent="0.25">
      <c r="A3" t="s">
        <v>52</v>
      </c>
      <c r="B3" t="s">
        <v>207</v>
      </c>
      <c r="C3" t="str">
        <f>+VLOOKUP(A3,$D$3:$E$48,2,FALSE)</f>
        <v>JAYA TRADING CO,</v>
      </c>
      <c r="D3" t="s">
        <v>0</v>
      </c>
      <c r="E3" t="s">
        <v>1</v>
      </c>
    </row>
    <row r="4" spans="1:5" x14ac:dyDescent="0.25">
      <c r="A4" t="s">
        <v>52</v>
      </c>
      <c r="B4" t="s">
        <v>207</v>
      </c>
      <c r="C4" t="str">
        <f t="shared" ref="C4:C67" si="0">+VLOOKUP(A4,$D$3:$E$48,2,FALSE)</f>
        <v>JAYA TRADING CO,</v>
      </c>
      <c r="D4" t="s">
        <v>0</v>
      </c>
      <c r="E4" t="s">
        <v>1</v>
      </c>
    </row>
    <row r="5" spans="1:5" x14ac:dyDescent="0.25">
      <c r="A5" t="s">
        <v>184</v>
      </c>
      <c r="B5" t="s">
        <v>185</v>
      </c>
      <c r="C5" t="e">
        <f t="shared" si="0"/>
        <v>#N/A</v>
      </c>
      <c r="D5" t="s">
        <v>0</v>
      </c>
      <c r="E5" t="s">
        <v>1</v>
      </c>
    </row>
    <row r="6" spans="1:5" x14ac:dyDescent="0.25">
      <c r="A6" t="s">
        <v>184</v>
      </c>
      <c r="B6" t="s">
        <v>185</v>
      </c>
      <c r="C6" t="e">
        <f t="shared" si="0"/>
        <v>#N/A</v>
      </c>
      <c r="D6" t="s">
        <v>0</v>
      </c>
      <c r="E6" t="s">
        <v>1</v>
      </c>
    </row>
    <row r="7" spans="1:5" x14ac:dyDescent="0.25">
      <c r="A7" t="s">
        <v>184</v>
      </c>
      <c r="B7" t="s">
        <v>185</v>
      </c>
      <c r="C7" t="e">
        <f t="shared" si="0"/>
        <v>#N/A</v>
      </c>
      <c r="D7" t="s">
        <v>11</v>
      </c>
      <c r="E7" t="s">
        <v>12</v>
      </c>
    </row>
    <row r="8" spans="1:5" x14ac:dyDescent="0.25">
      <c r="A8" t="s">
        <v>219</v>
      </c>
      <c r="B8" t="s">
        <v>220</v>
      </c>
      <c r="C8" t="e">
        <f t="shared" si="0"/>
        <v>#N/A</v>
      </c>
      <c r="D8" t="s">
        <v>11</v>
      </c>
      <c r="E8" t="s">
        <v>12</v>
      </c>
    </row>
    <row r="9" spans="1:5" x14ac:dyDescent="0.25">
      <c r="A9" t="s">
        <v>122</v>
      </c>
      <c r="B9" t="s">
        <v>123</v>
      </c>
      <c r="C9" t="e">
        <f t="shared" si="0"/>
        <v>#N/A</v>
      </c>
      <c r="D9" t="s">
        <v>11</v>
      </c>
      <c r="E9" t="s">
        <v>12</v>
      </c>
    </row>
    <row r="10" spans="1:5" x14ac:dyDescent="0.25">
      <c r="A10" t="s">
        <v>122</v>
      </c>
      <c r="B10" t="s">
        <v>123</v>
      </c>
      <c r="C10" t="e">
        <f t="shared" si="0"/>
        <v>#N/A</v>
      </c>
      <c r="D10" t="s">
        <v>11</v>
      </c>
      <c r="E10" t="s">
        <v>12</v>
      </c>
    </row>
    <row r="11" spans="1:5" x14ac:dyDescent="0.25">
      <c r="A11" t="s">
        <v>122</v>
      </c>
      <c r="B11" t="s">
        <v>123</v>
      </c>
      <c r="C11" t="e">
        <f t="shared" si="0"/>
        <v>#N/A</v>
      </c>
      <c r="D11" t="s">
        <v>11</v>
      </c>
      <c r="E11" t="s">
        <v>12</v>
      </c>
    </row>
    <row r="12" spans="1:5" x14ac:dyDescent="0.25">
      <c r="A12" t="s">
        <v>122</v>
      </c>
      <c r="B12" t="s">
        <v>123</v>
      </c>
      <c r="C12" t="e">
        <f t="shared" si="0"/>
        <v>#N/A</v>
      </c>
      <c r="D12" t="s">
        <v>11</v>
      </c>
      <c r="E12" t="s">
        <v>12</v>
      </c>
    </row>
    <row r="13" spans="1:5" x14ac:dyDescent="0.25">
      <c r="A13" t="s">
        <v>172</v>
      </c>
      <c r="B13" t="s">
        <v>225</v>
      </c>
      <c r="C13" t="e">
        <f t="shared" si="0"/>
        <v>#N/A</v>
      </c>
      <c r="D13" t="s">
        <v>11</v>
      </c>
      <c r="E13" t="s">
        <v>12</v>
      </c>
    </row>
    <row r="14" spans="1:5" x14ac:dyDescent="0.25">
      <c r="A14" t="s">
        <v>172</v>
      </c>
      <c r="B14" t="s">
        <v>225</v>
      </c>
      <c r="C14" t="e">
        <f t="shared" si="0"/>
        <v>#N/A</v>
      </c>
      <c r="D14" t="s">
        <v>11</v>
      </c>
      <c r="E14" t="s">
        <v>12</v>
      </c>
    </row>
    <row r="15" spans="1:5" x14ac:dyDescent="0.25">
      <c r="A15" t="s">
        <v>172</v>
      </c>
      <c r="B15" t="s">
        <v>225</v>
      </c>
      <c r="C15" t="e">
        <f t="shared" si="0"/>
        <v>#N/A</v>
      </c>
      <c r="D15" t="s">
        <v>26</v>
      </c>
      <c r="E15" t="s">
        <v>27</v>
      </c>
    </row>
    <row r="16" spans="1:5" x14ac:dyDescent="0.25">
      <c r="A16" t="s">
        <v>76</v>
      </c>
      <c r="B16" t="s">
        <v>230</v>
      </c>
      <c r="C16" t="str">
        <f t="shared" si="0"/>
        <v>SANGLI TRADING CO</v>
      </c>
      <c r="D16" t="s">
        <v>26</v>
      </c>
      <c r="E16" t="s">
        <v>27</v>
      </c>
    </row>
    <row r="17" spans="1:5" x14ac:dyDescent="0.25">
      <c r="A17" t="s">
        <v>76</v>
      </c>
      <c r="B17" t="s">
        <v>230</v>
      </c>
      <c r="C17" t="str">
        <f t="shared" si="0"/>
        <v>SANGLI TRADING CO</v>
      </c>
      <c r="D17" t="s">
        <v>32</v>
      </c>
      <c r="E17" t="s">
        <v>33</v>
      </c>
    </row>
    <row r="18" spans="1:5" x14ac:dyDescent="0.25">
      <c r="A18" t="s">
        <v>81</v>
      </c>
      <c r="B18" t="s">
        <v>233</v>
      </c>
      <c r="C18" t="str">
        <f t="shared" si="0"/>
        <v>VORA S FOODS &amp; BEVERAGES</v>
      </c>
      <c r="D18" t="s">
        <v>35</v>
      </c>
      <c r="E18" t="s">
        <v>36</v>
      </c>
    </row>
    <row r="19" spans="1:5" x14ac:dyDescent="0.25">
      <c r="A19" t="s">
        <v>81</v>
      </c>
      <c r="B19" t="s">
        <v>233</v>
      </c>
      <c r="C19" t="str">
        <f t="shared" si="0"/>
        <v>VORA S FOODS &amp; BEVERAGES</v>
      </c>
      <c r="D19" t="s">
        <v>35</v>
      </c>
      <c r="E19" t="s">
        <v>36</v>
      </c>
    </row>
    <row r="20" spans="1:5" x14ac:dyDescent="0.25">
      <c r="A20" t="s">
        <v>41</v>
      </c>
      <c r="B20" t="s">
        <v>234</v>
      </c>
      <c r="C20" t="str">
        <f t="shared" si="0"/>
        <v>OM SAI TRADERS</v>
      </c>
      <c r="D20" t="s">
        <v>35</v>
      </c>
      <c r="E20" t="s">
        <v>36</v>
      </c>
    </row>
    <row r="21" spans="1:5" x14ac:dyDescent="0.25">
      <c r="A21" t="s">
        <v>41</v>
      </c>
      <c r="B21" t="s">
        <v>234</v>
      </c>
      <c r="C21" t="str">
        <f t="shared" si="0"/>
        <v>OM SAI TRADERS</v>
      </c>
      <c r="D21" t="s">
        <v>35</v>
      </c>
      <c r="E21" t="s">
        <v>36</v>
      </c>
    </row>
    <row r="22" spans="1:5" x14ac:dyDescent="0.25">
      <c r="A22" t="s">
        <v>69</v>
      </c>
      <c r="B22" t="s">
        <v>235</v>
      </c>
      <c r="C22" t="str">
        <f t="shared" si="0"/>
        <v>GOGRI MASALA  AND  DRYFRUIT</v>
      </c>
      <c r="D22" t="s">
        <v>41</v>
      </c>
      <c r="E22" t="s">
        <v>42</v>
      </c>
    </row>
    <row r="23" spans="1:5" x14ac:dyDescent="0.25">
      <c r="A23" t="s">
        <v>69</v>
      </c>
      <c r="B23" t="s">
        <v>235</v>
      </c>
      <c r="C23" t="str">
        <f t="shared" si="0"/>
        <v>GOGRI MASALA  AND  DRYFRUIT</v>
      </c>
      <c r="D23" t="s">
        <v>41</v>
      </c>
      <c r="E23" t="s">
        <v>42</v>
      </c>
    </row>
    <row r="24" spans="1:5" x14ac:dyDescent="0.25">
      <c r="A24" t="s">
        <v>69</v>
      </c>
      <c r="B24" t="s">
        <v>235</v>
      </c>
      <c r="C24" t="str">
        <f t="shared" si="0"/>
        <v>GOGRI MASALA  AND  DRYFRUIT</v>
      </c>
      <c r="D24" t="s">
        <v>47</v>
      </c>
      <c r="E24" t="s">
        <v>48</v>
      </c>
    </row>
    <row r="25" spans="1:5" x14ac:dyDescent="0.25">
      <c r="A25" t="s">
        <v>69</v>
      </c>
      <c r="B25" t="s">
        <v>235</v>
      </c>
      <c r="C25" t="str">
        <f t="shared" si="0"/>
        <v>GOGRI MASALA  AND  DRYFRUIT</v>
      </c>
      <c r="D25" t="s">
        <v>47</v>
      </c>
      <c r="E25" t="s">
        <v>48</v>
      </c>
    </row>
    <row r="26" spans="1:5" x14ac:dyDescent="0.25">
      <c r="A26" t="s">
        <v>69</v>
      </c>
      <c r="B26" t="s">
        <v>235</v>
      </c>
      <c r="C26" t="str">
        <f t="shared" si="0"/>
        <v>GOGRI MASALA  AND  DRYFRUIT</v>
      </c>
      <c r="D26" t="s">
        <v>52</v>
      </c>
      <c r="E26" t="s">
        <v>53</v>
      </c>
    </row>
    <row r="27" spans="1:5" x14ac:dyDescent="0.25">
      <c r="A27" t="s">
        <v>69</v>
      </c>
      <c r="B27" t="s">
        <v>235</v>
      </c>
      <c r="C27" t="str">
        <f t="shared" si="0"/>
        <v>GOGRI MASALA  AND  DRYFRUIT</v>
      </c>
      <c r="D27" t="s">
        <v>52</v>
      </c>
      <c r="E27" t="s">
        <v>53</v>
      </c>
    </row>
    <row r="28" spans="1:5" x14ac:dyDescent="0.25">
      <c r="A28" t="s">
        <v>69</v>
      </c>
      <c r="B28" t="s">
        <v>235</v>
      </c>
      <c r="C28" t="str">
        <f t="shared" si="0"/>
        <v>GOGRI MASALA  AND  DRYFRUIT</v>
      </c>
      <c r="D28" t="s">
        <v>58</v>
      </c>
      <c r="E28" t="s">
        <v>59</v>
      </c>
    </row>
    <row r="29" spans="1:5" x14ac:dyDescent="0.25">
      <c r="A29" t="s">
        <v>69</v>
      </c>
      <c r="B29" t="s">
        <v>235</v>
      </c>
      <c r="C29" t="str">
        <f t="shared" si="0"/>
        <v>GOGRI MASALA  AND  DRYFRUIT</v>
      </c>
      <c r="D29" t="s">
        <v>58</v>
      </c>
      <c r="E29" t="s">
        <v>59</v>
      </c>
    </row>
    <row r="30" spans="1:5" x14ac:dyDescent="0.25">
      <c r="A30" t="s">
        <v>163</v>
      </c>
      <c r="B30" t="s">
        <v>237</v>
      </c>
      <c r="C30" t="e">
        <f t="shared" si="0"/>
        <v>#N/A</v>
      </c>
      <c r="D30" t="s">
        <v>58</v>
      </c>
      <c r="E30" t="s">
        <v>59</v>
      </c>
    </row>
    <row r="31" spans="1:5" x14ac:dyDescent="0.25">
      <c r="A31" t="s">
        <v>163</v>
      </c>
      <c r="B31" t="s">
        <v>237</v>
      </c>
      <c r="C31" t="e">
        <f t="shared" si="0"/>
        <v>#N/A</v>
      </c>
      <c r="D31" t="s">
        <v>66</v>
      </c>
      <c r="E31" t="s">
        <v>67</v>
      </c>
    </row>
    <row r="32" spans="1:5" x14ac:dyDescent="0.25">
      <c r="A32" t="s">
        <v>163</v>
      </c>
      <c r="B32" t="s">
        <v>237</v>
      </c>
      <c r="C32" t="e">
        <f t="shared" si="0"/>
        <v>#N/A</v>
      </c>
      <c r="D32" t="s">
        <v>69</v>
      </c>
      <c r="E32" t="s">
        <v>70</v>
      </c>
    </row>
    <row r="33" spans="1:5" x14ac:dyDescent="0.25">
      <c r="A33" t="s">
        <v>163</v>
      </c>
      <c r="B33" t="s">
        <v>237</v>
      </c>
      <c r="C33" t="e">
        <f t="shared" si="0"/>
        <v>#N/A</v>
      </c>
      <c r="D33" t="s">
        <v>69</v>
      </c>
      <c r="E33" t="s">
        <v>70</v>
      </c>
    </row>
    <row r="34" spans="1:5" x14ac:dyDescent="0.25">
      <c r="A34" t="s">
        <v>163</v>
      </c>
      <c r="B34" t="s">
        <v>237</v>
      </c>
      <c r="C34" t="e">
        <f t="shared" si="0"/>
        <v>#N/A</v>
      </c>
      <c r="D34" t="s">
        <v>69</v>
      </c>
      <c r="E34" t="s">
        <v>70</v>
      </c>
    </row>
    <row r="35" spans="1:5" x14ac:dyDescent="0.25">
      <c r="A35" t="s">
        <v>163</v>
      </c>
      <c r="B35" t="s">
        <v>237</v>
      </c>
      <c r="C35" t="e">
        <f t="shared" si="0"/>
        <v>#N/A</v>
      </c>
      <c r="D35" t="s">
        <v>69</v>
      </c>
      <c r="E35" t="s">
        <v>70</v>
      </c>
    </row>
    <row r="36" spans="1:5" x14ac:dyDescent="0.25">
      <c r="A36" t="s">
        <v>153</v>
      </c>
      <c r="B36" t="s">
        <v>240</v>
      </c>
      <c r="C36" t="e">
        <f t="shared" si="0"/>
        <v>#N/A</v>
      </c>
      <c r="D36" t="s">
        <v>76</v>
      </c>
      <c r="E36" t="s">
        <v>77</v>
      </c>
    </row>
    <row r="37" spans="1:5" x14ac:dyDescent="0.25">
      <c r="A37" t="s">
        <v>153</v>
      </c>
      <c r="B37" t="s">
        <v>240</v>
      </c>
      <c r="C37" t="e">
        <f t="shared" si="0"/>
        <v>#N/A</v>
      </c>
      <c r="D37" t="s">
        <v>76</v>
      </c>
      <c r="E37" t="s">
        <v>77</v>
      </c>
    </row>
    <row r="38" spans="1:5" x14ac:dyDescent="0.25">
      <c r="A38" t="s">
        <v>0</v>
      </c>
      <c r="B38" t="s">
        <v>242</v>
      </c>
      <c r="C38" t="str">
        <f t="shared" si="0"/>
        <v>PRASANNA ENTERPRISES</v>
      </c>
      <c r="D38" t="s">
        <v>81</v>
      </c>
      <c r="E38" t="s">
        <v>82</v>
      </c>
    </row>
    <row r="39" spans="1:5" x14ac:dyDescent="0.25">
      <c r="A39" t="s">
        <v>0</v>
      </c>
      <c r="B39" t="s">
        <v>242</v>
      </c>
      <c r="C39" t="str">
        <f t="shared" si="0"/>
        <v>PRASANNA ENTERPRISES</v>
      </c>
      <c r="D39" t="s">
        <v>81</v>
      </c>
      <c r="E39" t="s">
        <v>82</v>
      </c>
    </row>
    <row r="40" spans="1:5" x14ac:dyDescent="0.25">
      <c r="A40" t="s">
        <v>0</v>
      </c>
      <c r="B40" t="s">
        <v>242</v>
      </c>
      <c r="C40" t="str">
        <f t="shared" si="0"/>
        <v>PRASANNA ENTERPRISES</v>
      </c>
      <c r="D40" t="s">
        <v>85</v>
      </c>
      <c r="E40" t="s">
        <v>86</v>
      </c>
    </row>
    <row r="41" spans="1:5" x14ac:dyDescent="0.25">
      <c r="A41" t="s">
        <v>0</v>
      </c>
      <c r="B41" t="s">
        <v>242</v>
      </c>
      <c r="C41" t="str">
        <f t="shared" si="0"/>
        <v>PRASANNA ENTERPRISES</v>
      </c>
      <c r="D41" t="s">
        <v>88</v>
      </c>
      <c r="E41" t="s">
        <v>89</v>
      </c>
    </row>
    <row r="42" spans="1:5" x14ac:dyDescent="0.25">
      <c r="A42" t="s">
        <v>47</v>
      </c>
      <c r="B42" t="s">
        <v>246</v>
      </c>
      <c r="C42" t="str">
        <f t="shared" si="0"/>
        <v>PRIYA ENTERPRISES</v>
      </c>
      <c r="D42" t="s">
        <v>92</v>
      </c>
      <c r="E42" t="s">
        <v>93</v>
      </c>
    </row>
    <row r="43" spans="1:5" x14ac:dyDescent="0.25">
      <c r="A43" t="s">
        <v>47</v>
      </c>
      <c r="B43" t="s">
        <v>246</v>
      </c>
      <c r="C43" t="str">
        <f t="shared" si="0"/>
        <v>PRIYA ENTERPRISES</v>
      </c>
      <c r="D43" t="s">
        <v>95</v>
      </c>
      <c r="E43" t="s">
        <v>96</v>
      </c>
    </row>
    <row r="44" spans="1:5" x14ac:dyDescent="0.25">
      <c r="A44" t="s">
        <v>47</v>
      </c>
      <c r="B44" t="s">
        <v>246</v>
      </c>
      <c r="C44" t="str">
        <f t="shared" si="0"/>
        <v>PRIYA ENTERPRISES</v>
      </c>
      <c r="D44" t="s">
        <v>98</v>
      </c>
      <c r="E44" t="s">
        <v>99</v>
      </c>
    </row>
    <row r="45" spans="1:5" x14ac:dyDescent="0.25">
      <c r="A45" t="s">
        <v>47</v>
      </c>
      <c r="B45" t="s">
        <v>246</v>
      </c>
      <c r="C45" t="str">
        <f t="shared" si="0"/>
        <v>PRIYA ENTERPRISES</v>
      </c>
      <c r="D45" t="s">
        <v>98</v>
      </c>
      <c r="E45" t="s">
        <v>99</v>
      </c>
    </row>
    <row r="46" spans="1:5" x14ac:dyDescent="0.25">
      <c r="A46" t="s">
        <v>247</v>
      </c>
      <c r="B46" t="s">
        <v>248</v>
      </c>
      <c r="C46" t="e">
        <f t="shared" si="0"/>
        <v>#N/A</v>
      </c>
      <c r="D46" t="s">
        <v>102</v>
      </c>
      <c r="E46" t="s">
        <v>103</v>
      </c>
    </row>
    <row r="47" spans="1:5" x14ac:dyDescent="0.25">
      <c r="A47" t="s">
        <v>98</v>
      </c>
      <c r="B47" t="s">
        <v>250</v>
      </c>
      <c r="C47" t="str">
        <f t="shared" si="0"/>
        <v>Mohit Traders</v>
      </c>
      <c r="D47" t="s">
        <v>106</v>
      </c>
      <c r="E47" t="s">
        <v>107</v>
      </c>
    </row>
    <row r="48" spans="1:5" x14ac:dyDescent="0.25">
      <c r="A48" t="s">
        <v>98</v>
      </c>
      <c r="B48" t="s">
        <v>250</v>
      </c>
      <c r="C48" t="str">
        <f t="shared" si="0"/>
        <v>Mohit Traders</v>
      </c>
      <c r="D48" t="s">
        <v>106</v>
      </c>
      <c r="E48" t="s">
        <v>107</v>
      </c>
    </row>
    <row r="49" spans="1:5" x14ac:dyDescent="0.25">
      <c r="A49" t="s">
        <v>177</v>
      </c>
      <c r="B49" t="s">
        <v>251</v>
      </c>
      <c r="C49" t="e">
        <f t="shared" si="0"/>
        <v>#N/A</v>
      </c>
      <c r="D49" t="s">
        <v>106</v>
      </c>
      <c r="E49" t="s">
        <v>107</v>
      </c>
    </row>
    <row r="50" spans="1:5" x14ac:dyDescent="0.25">
      <c r="A50" t="s">
        <v>177</v>
      </c>
      <c r="B50" t="s">
        <v>251</v>
      </c>
      <c r="C50" t="e">
        <f t="shared" si="0"/>
        <v>#N/A</v>
      </c>
      <c r="D50" t="s">
        <v>106</v>
      </c>
      <c r="E50" t="s">
        <v>107</v>
      </c>
    </row>
    <row r="51" spans="1:5" x14ac:dyDescent="0.25">
      <c r="A51" t="s">
        <v>177</v>
      </c>
      <c r="B51" t="s">
        <v>251</v>
      </c>
      <c r="C51" t="e">
        <f t="shared" si="0"/>
        <v>#N/A</v>
      </c>
      <c r="D51" t="s">
        <v>116</v>
      </c>
      <c r="E51" t="s">
        <v>117</v>
      </c>
    </row>
    <row r="52" spans="1:5" x14ac:dyDescent="0.25">
      <c r="A52" t="s">
        <v>177</v>
      </c>
      <c r="B52" t="s">
        <v>251</v>
      </c>
      <c r="C52" t="e">
        <f t="shared" si="0"/>
        <v>#N/A</v>
      </c>
      <c r="D52" t="s">
        <v>116</v>
      </c>
      <c r="E52" t="s">
        <v>117</v>
      </c>
    </row>
    <row r="53" spans="1:5" x14ac:dyDescent="0.25">
      <c r="A53" t="s">
        <v>177</v>
      </c>
      <c r="B53" t="s">
        <v>251</v>
      </c>
      <c r="C53" t="e">
        <f t="shared" si="0"/>
        <v>#N/A</v>
      </c>
      <c r="D53" t="s">
        <v>116</v>
      </c>
      <c r="E53" t="s">
        <v>117</v>
      </c>
    </row>
    <row r="54" spans="1:5" x14ac:dyDescent="0.25">
      <c r="A54" t="s">
        <v>177</v>
      </c>
      <c r="B54" t="s">
        <v>251</v>
      </c>
      <c r="C54" t="e">
        <f t="shared" si="0"/>
        <v>#N/A</v>
      </c>
      <c r="D54" t="s">
        <v>122</v>
      </c>
      <c r="E54" t="s">
        <v>123</v>
      </c>
    </row>
    <row r="55" spans="1:5" x14ac:dyDescent="0.25">
      <c r="A55" t="s">
        <v>35</v>
      </c>
      <c r="B55" t="s">
        <v>253</v>
      </c>
      <c r="C55" t="str">
        <f t="shared" si="0"/>
        <v>BABULAL JAYANTILAL &amp; CO.</v>
      </c>
      <c r="D55" t="s">
        <v>122</v>
      </c>
      <c r="E55" t="s">
        <v>123</v>
      </c>
    </row>
    <row r="56" spans="1:5" x14ac:dyDescent="0.25">
      <c r="A56" t="s">
        <v>35</v>
      </c>
      <c r="B56" t="s">
        <v>253</v>
      </c>
      <c r="C56" t="str">
        <f t="shared" si="0"/>
        <v>BABULAL JAYANTILAL &amp; CO.</v>
      </c>
      <c r="D56" t="s">
        <v>122</v>
      </c>
      <c r="E56" t="s">
        <v>123</v>
      </c>
    </row>
    <row r="57" spans="1:5" x14ac:dyDescent="0.25">
      <c r="A57" t="s">
        <v>35</v>
      </c>
      <c r="B57" t="s">
        <v>253</v>
      </c>
      <c r="C57" t="str">
        <f t="shared" si="0"/>
        <v>BABULAL JAYANTILAL &amp; CO.</v>
      </c>
      <c r="D57" t="s">
        <v>122</v>
      </c>
      <c r="E57" t="s">
        <v>123</v>
      </c>
    </row>
    <row r="58" spans="1:5" x14ac:dyDescent="0.25">
      <c r="A58" t="s">
        <v>35</v>
      </c>
      <c r="B58" t="s">
        <v>253</v>
      </c>
      <c r="C58" t="str">
        <f t="shared" si="0"/>
        <v>BABULAL JAYANTILAL &amp; CO.</v>
      </c>
      <c r="D58" t="s">
        <v>128</v>
      </c>
      <c r="E58" t="s">
        <v>129</v>
      </c>
    </row>
    <row r="59" spans="1:5" x14ac:dyDescent="0.25">
      <c r="A59" t="s">
        <v>95</v>
      </c>
      <c r="B59" t="s">
        <v>96</v>
      </c>
      <c r="C59" t="str">
        <f t="shared" si="0"/>
        <v>ASHAPURA AGROCOMM PRIVATE LIMITED</v>
      </c>
      <c r="D59" t="s">
        <v>128</v>
      </c>
      <c r="E59" t="s">
        <v>129</v>
      </c>
    </row>
    <row r="60" spans="1:5" x14ac:dyDescent="0.25">
      <c r="A60" t="s">
        <v>134</v>
      </c>
      <c r="B60" t="s">
        <v>254</v>
      </c>
      <c r="C60" t="e">
        <f t="shared" si="0"/>
        <v>#N/A</v>
      </c>
      <c r="D60" t="s">
        <v>134</v>
      </c>
      <c r="E60" t="s">
        <v>135</v>
      </c>
    </row>
    <row r="61" spans="1:5" x14ac:dyDescent="0.25">
      <c r="A61" t="s">
        <v>134</v>
      </c>
      <c r="B61" t="s">
        <v>254</v>
      </c>
      <c r="C61" t="e">
        <f t="shared" si="0"/>
        <v>#N/A</v>
      </c>
      <c r="D61" t="s">
        <v>134</v>
      </c>
      <c r="E61" t="s">
        <v>135</v>
      </c>
    </row>
    <row r="62" spans="1:5" x14ac:dyDescent="0.25">
      <c r="A62" t="s">
        <v>116</v>
      </c>
      <c r="B62" t="s">
        <v>255</v>
      </c>
      <c r="C62" t="e">
        <f t="shared" si="0"/>
        <v>#N/A</v>
      </c>
      <c r="D62" t="s">
        <v>58</v>
      </c>
      <c r="E62" t="s">
        <v>59</v>
      </c>
    </row>
    <row r="63" spans="1:5" x14ac:dyDescent="0.25">
      <c r="A63" t="s">
        <v>116</v>
      </c>
      <c r="B63" t="s">
        <v>255</v>
      </c>
      <c r="C63" t="e">
        <f t="shared" si="0"/>
        <v>#N/A</v>
      </c>
      <c r="D63" t="s">
        <v>58</v>
      </c>
      <c r="E63" t="s">
        <v>59</v>
      </c>
    </row>
    <row r="64" spans="1:5" x14ac:dyDescent="0.25">
      <c r="A64" t="s">
        <v>116</v>
      </c>
      <c r="B64" t="s">
        <v>255</v>
      </c>
      <c r="C64" t="e">
        <f t="shared" si="0"/>
        <v>#N/A</v>
      </c>
      <c r="D64" t="s">
        <v>140</v>
      </c>
      <c r="E64" t="s">
        <v>141</v>
      </c>
    </row>
    <row r="65" spans="1:5" x14ac:dyDescent="0.25">
      <c r="A65" t="s">
        <v>160</v>
      </c>
      <c r="B65" t="s">
        <v>161</v>
      </c>
      <c r="C65" t="e">
        <f t="shared" si="0"/>
        <v>#N/A</v>
      </c>
      <c r="D65" t="s">
        <v>143</v>
      </c>
      <c r="E65" t="s">
        <v>144</v>
      </c>
    </row>
    <row r="66" spans="1:5" x14ac:dyDescent="0.25">
      <c r="A66" t="s">
        <v>32</v>
      </c>
      <c r="B66" t="s">
        <v>259</v>
      </c>
      <c r="C66" t="str">
        <f t="shared" si="0"/>
        <v>M R ENTERPRISES</v>
      </c>
      <c r="D66" t="s">
        <v>143</v>
      </c>
      <c r="E66" t="s">
        <v>144</v>
      </c>
    </row>
    <row r="67" spans="1:5" x14ac:dyDescent="0.25">
      <c r="A67" t="s">
        <v>147</v>
      </c>
      <c r="B67" t="s">
        <v>261</v>
      </c>
      <c r="C67" t="e">
        <f t="shared" si="0"/>
        <v>#N/A</v>
      </c>
      <c r="D67" t="s">
        <v>147</v>
      </c>
      <c r="E67" t="s">
        <v>148</v>
      </c>
    </row>
    <row r="68" spans="1:5" x14ac:dyDescent="0.25">
      <c r="A68" t="s">
        <v>85</v>
      </c>
      <c r="B68" t="s">
        <v>262</v>
      </c>
      <c r="C68" t="str">
        <f t="shared" ref="C68:C106" si="1">+VLOOKUP(A68,$D$3:$E$48,2,FALSE)</f>
        <v>M/s BAIT AL TAMUR CO</v>
      </c>
      <c r="D68" t="s">
        <v>150</v>
      </c>
      <c r="E68" t="s">
        <v>151</v>
      </c>
    </row>
    <row r="69" spans="1:5" x14ac:dyDescent="0.25">
      <c r="A69" t="s">
        <v>26</v>
      </c>
      <c r="B69" t="s">
        <v>264</v>
      </c>
      <c r="C69" t="str">
        <f t="shared" si="1"/>
        <v>KALPANA TRADING</v>
      </c>
      <c r="D69" t="s">
        <v>153</v>
      </c>
      <c r="E69" t="s">
        <v>154</v>
      </c>
    </row>
    <row r="70" spans="1:5" x14ac:dyDescent="0.25">
      <c r="A70" t="s">
        <v>26</v>
      </c>
      <c r="B70" t="s">
        <v>264</v>
      </c>
      <c r="C70" t="str">
        <f t="shared" si="1"/>
        <v>KALPANA TRADING</v>
      </c>
      <c r="D70" t="s">
        <v>153</v>
      </c>
      <c r="E70" t="s">
        <v>154</v>
      </c>
    </row>
    <row r="71" spans="1:5" x14ac:dyDescent="0.25">
      <c r="A71" t="s">
        <v>11</v>
      </c>
      <c r="B71" t="s">
        <v>12</v>
      </c>
      <c r="C71" t="str">
        <f t="shared" si="1"/>
        <v>MADHUBAN TRADING COMPANY</v>
      </c>
      <c r="D71" t="s">
        <v>41</v>
      </c>
      <c r="E71" t="s">
        <v>42</v>
      </c>
    </row>
    <row r="72" spans="1:5" x14ac:dyDescent="0.25">
      <c r="A72" t="s">
        <v>11</v>
      </c>
      <c r="B72" t="s">
        <v>12</v>
      </c>
      <c r="C72" t="str">
        <f t="shared" si="1"/>
        <v>MADHUBAN TRADING COMPANY</v>
      </c>
      <c r="D72" t="s">
        <v>41</v>
      </c>
      <c r="E72" t="s">
        <v>42</v>
      </c>
    </row>
    <row r="73" spans="1:5" x14ac:dyDescent="0.25">
      <c r="A73" t="s">
        <v>11</v>
      </c>
      <c r="B73" t="s">
        <v>12</v>
      </c>
      <c r="C73" t="str">
        <f t="shared" si="1"/>
        <v>MADHUBAN TRADING COMPANY</v>
      </c>
      <c r="D73" t="s">
        <v>160</v>
      </c>
      <c r="E73" t="s">
        <v>161</v>
      </c>
    </row>
    <row r="74" spans="1:5" x14ac:dyDescent="0.25">
      <c r="A74" t="s">
        <v>11</v>
      </c>
      <c r="B74" t="s">
        <v>12</v>
      </c>
      <c r="C74" t="str">
        <f t="shared" si="1"/>
        <v>MADHUBAN TRADING COMPANY</v>
      </c>
      <c r="D74" t="s">
        <v>163</v>
      </c>
      <c r="E74" t="s">
        <v>164</v>
      </c>
    </row>
    <row r="75" spans="1:5" x14ac:dyDescent="0.25">
      <c r="A75" t="s">
        <v>11</v>
      </c>
      <c r="B75" t="s">
        <v>12</v>
      </c>
      <c r="C75" t="str">
        <f t="shared" si="1"/>
        <v>MADHUBAN TRADING COMPANY</v>
      </c>
      <c r="D75" t="s">
        <v>163</v>
      </c>
      <c r="E75" t="s">
        <v>164</v>
      </c>
    </row>
    <row r="76" spans="1:5" x14ac:dyDescent="0.25">
      <c r="A76" t="s">
        <v>11</v>
      </c>
      <c r="B76" t="s">
        <v>12</v>
      </c>
      <c r="C76" t="str">
        <f t="shared" si="1"/>
        <v>MADHUBAN TRADING COMPANY</v>
      </c>
      <c r="D76" t="s">
        <v>163</v>
      </c>
      <c r="E76" t="s">
        <v>164</v>
      </c>
    </row>
    <row r="77" spans="1:5" x14ac:dyDescent="0.25">
      <c r="A77" t="s">
        <v>11</v>
      </c>
      <c r="B77" t="s">
        <v>12</v>
      </c>
      <c r="C77" t="str">
        <f t="shared" si="1"/>
        <v>MADHUBAN TRADING COMPANY</v>
      </c>
      <c r="D77" t="s">
        <v>163</v>
      </c>
      <c r="E77" t="s">
        <v>164</v>
      </c>
    </row>
    <row r="78" spans="1:5" x14ac:dyDescent="0.25">
      <c r="A78" t="s">
        <v>11</v>
      </c>
      <c r="B78" t="s">
        <v>12</v>
      </c>
      <c r="C78" t="str">
        <f t="shared" si="1"/>
        <v>MADHUBAN TRADING COMPANY</v>
      </c>
      <c r="D78" t="s">
        <v>150</v>
      </c>
      <c r="E78" t="s">
        <v>151</v>
      </c>
    </row>
    <row r="79" spans="1:5" x14ac:dyDescent="0.25">
      <c r="A79" t="s">
        <v>11</v>
      </c>
      <c r="B79" t="s">
        <v>12</v>
      </c>
      <c r="C79" t="str">
        <f t="shared" si="1"/>
        <v>MADHUBAN TRADING COMPANY</v>
      </c>
      <c r="D79" t="s">
        <v>172</v>
      </c>
      <c r="E79" t="s">
        <v>173</v>
      </c>
    </row>
    <row r="80" spans="1:5" x14ac:dyDescent="0.25">
      <c r="A80" t="s">
        <v>11</v>
      </c>
      <c r="B80" t="s">
        <v>12</v>
      </c>
      <c r="C80" t="str">
        <f t="shared" si="1"/>
        <v>MADHUBAN TRADING COMPANY</v>
      </c>
      <c r="D80" t="s">
        <v>172</v>
      </c>
      <c r="E80" t="s">
        <v>173</v>
      </c>
    </row>
    <row r="81" spans="1:5" x14ac:dyDescent="0.25">
      <c r="A81" t="s">
        <v>11</v>
      </c>
      <c r="B81" t="s">
        <v>12</v>
      </c>
      <c r="C81" t="str">
        <f t="shared" si="1"/>
        <v>MADHUBAN TRADING COMPANY</v>
      </c>
      <c r="D81" t="s">
        <v>172</v>
      </c>
      <c r="E81" t="s">
        <v>173</v>
      </c>
    </row>
    <row r="82" spans="1:5" x14ac:dyDescent="0.25">
      <c r="A82" t="s">
        <v>11</v>
      </c>
      <c r="B82" t="s">
        <v>12</v>
      </c>
      <c r="C82" t="str">
        <f t="shared" si="1"/>
        <v>MADHUBAN TRADING COMPANY</v>
      </c>
      <c r="D82" t="s">
        <v>177</v>
      </c>
      <c r="E82" t="s">
        <v>178</v>
      </c>
    </row>
    <row r="83" spans="1:5" x14ac:dyDescent="0.25">
      <c r="A83" t="s">
        <v>11</v>
      </c>
      <c r="B83" t="s">
        <v>12</v>
      </c>
      <c r="C83" t="str">
        <f t="shared" si="1"/>
        <v>MADHUBAN TRADING COMPANY</v>
      </c>
      <c r="D83" t="s">
        <v>177</v>
      </c>
      <c r="E83" t="s">
        <v>178</v>
      </c>
    </row>
    <row r="84" spans="1:5" x14ac:dyDescent="0.25">
      <c r="A84" t="s">
        <v>11</v>
      </c>
      <c r="B84" t="s">
        <v>12</v>
      </c>
      <c r="C84" t="str">
        <f t="shared" si="1"/>
        <v>MADHUBAN TRADING COMPANY</v>
      </c>
      <c r="D84" t="s">
        <v>177</v>
      </c>
      <c r="E84" t="s">
        <v>178</v>
      </c>
    </row>
    <row r="85" spans="1:5" x14ac:dyDescent="0.25">
      <c r="A85" t="s">
        <v>11</v>
      </c>
      <c r="B85" t="s">
        <v>12</v>
      </c>
      <c r="C85" t="str">
        <f t="shared" si="1"/>
        <v>MADHUBAN TRADING COMPANY</v>
      </c>
      <c r="D85" t="s">
        <v>177</v>
      </c>
      <c r="E85" t="s">
        <v>178</v>
      </c>
    </row>
    <row r="86" spans="1:5" x14ac:dyDescent="0.25">
      <c r="A86" t="s">
        <v>88</v>
      </c>
      <c r="B86" t="s">
        <v>265</v>
      </c>
      <c r="C86" t="str">
        <f t="shared" si="1"/>
        <v>Anik Foods &amp; Beverages</v>
      </c>
      <c r="D86" t="s">
        <v>177</v>
      </c>
      <c r="E86" t="s">
        <v>178</v>
      </c>
    </row>
    <row r="87" spans="1:5" x14ac:dyDescent="0.25">
      <c r="A87" t="s">
        <v>92</v>
      </c>
      <c r="B87" t="s">
        <v>93</v>
      </c>
      <c r="C87" t="str">
        <f t="shared" si="1"/>
        <v>VAGAD INTERNATIONAL</v>
      </c>
      <c r="D87" t="s">
        <v>184</v>
      </c>
      <c r="E87" t="s">
        <v>185</v>
      </c>
    </row>
    <row r="88" spans="1:5" x14ac:dyDescent="0.25">
      <c r="A88" t="s">
        <v>92</v>
      </c>
      <c r="B88" t="s">
        <v>93</v>
      </c>
      <c r="C88" t="str">
        <f t="shared" si="1"/>
        <v>VAGAD INTERNATIONAL</v>
      </c>
      <c r="D88" t="s">
        <v>184</v>
      </c>
      <c r="E88" t="s">
        <v>185</v>
      </c>
    </row>
    <row r="89" spans="1:5" x14ac:dyDescent="0.25">
      <c r="A89" t="s">
        <v>92</v>
      </c>
      <c r="B89" t="s">
        <v>93</v>
      </c>
      <c r="C89" t="str">
        <f t="shared" si="1"/>
        <v>VAGAD INTERNATIONAL</v>
      </c>
      <c r="D89" t="s">
        <v>184</v>
      </c>
      <c r="E89" t="s">
        <v>185</v>
      </c>
    </row>
    <row r="90" spans="1:5" x14ac:dyDescent="0.25">
      <c r="A90" t="s">
        <v>58</v>
      </c>
      <c r="B90" t="s">
        <v>268</v>
      </c>
      <c r="C90" t="str">
        <f t="shared" si="1"/>
        <v>VIJAY ENTERPRISES</v>
      </c>
      <c r="D90" t="s">
        <v>189</v>
      </c>
      <c r="E90" t="s">
        <v>190</v>
      </c>
    </row>
    <row r="91" spans="1:5" x14ac:dyDescent="0.25">
      <c r="A91" t="s">
        <v>58</v>
      </c>
      <c r="B91" t="s">
        <v>268</v>
      </c>
      <c r="C91" t="str">
        <f t="shared" si="1"/>
        <v>VIJAY ENTERPRISES</v>
      </c>
      <c r="D91" t="s">
        <v>189</v>
      </c>
      <c r="E91" t="s">
        <v>190</v>
      </c>
    </row>
    <row r="92" spans="1:5" x14ac:dyDescent="0.25">
      <c r="A92" t="s">
        <v>143</v>
      </c>
      <c r="B92" t="s">
        <v>269</v>
      </c>
      <c r="C92" t="e">
        <f t="shared" si="1"/>
        <v>#N/A</v>
      </c>
      <c r="D92" t="s">
        <v>189</v>
      </c>
      <c r="E92" t="s">
        <v>190</v>
      </c>
    </row>
    <row r="93" spans="1:5" x14ac:dyDescent="0.25">
      <c r="A93" t="s">
        <v>143</v>
      </c>
      <c r="B93" t="s">
        <v>269</v>
      </c>
      <c r="C93" t="e">
        <f t="shared" si="1"/>
        <v>#N/A</v>
      </c>
    </row>
    <row r="94" spans="1:5" x14ac:dyDescent="0.25">
      <c r="A94" t="s">
        <v>143</v>
      </c>
      <c r="B94" t="s">
        <v>269</v>
      </c>
      <c r="C94" t="e">
        <f t="shared" si="1"/>
        <v>#N/A</v>
      </c>
    </row>
    <row r="95" spans="1:5" x14ac:dyDescent="0.25">
      <c r="A95" t="s">
        <v>143</v>
      </c>
      <c r="B95" t="s">
        <v>269</v>
      </c>
      <c r="C95" t="e">
        <f t="shared" si="1"/>
        <v>#N/A</v>
      </c>
    </row>
    <row r="96" spans="1:5" x14ac:dyDescent="0.25">
      <c r="A96" t="s">
        <v>143</v>
      </c>
      <c r="B96" t="s">
        <v>269</v>
      </c>
      <c r="C96" t="e">
        <f t="shared" si="1"/>
        <v>#N/A</v>
      </c>
    </row>
    <row r="97" spans="1:3" x14ac:dyDescent="0.25">
      <c r="A97" t="s">
        <v>102</v>
      </c>
      <c r="B97" t="s">
        <v>103</v>
      </c>
      <c r="C97" t="str">
        <f t="shared" si="1"/>
        <v>HINDUSTAN SOFT SUGAR FACTORY</v>
      </c>
    </row>
    <row r="98" spans="1:3" x14ac:dyDescent="0.25">
      <c r="A98" t="s">
        <v>66</v>
      </c>
      <c r="B98" t="s">
        <v>67</v>
      </c>
      <c r="C98" t="str">
        <f t="shared" si="1"/>
        <v>VISHWAS TRADELINK</v>
      </c>
    </row>
    <row r="99" spans="1:3" x14ac:dyDescent="0.25">
      <c r="A99" t="s">
        <v>189</v>
      </c>
      <c r="B99" t="s">
        <v>270</v>
      </c>
      <c r="C99" t="e">
        <f t="shared" si="1"/>
        <v>#N/A</v>
      </c>
    </row>
    <row r="100" spans="1:3" x14ac:dyDescent="0.25">
      <c r="A100" t="s">
        <v>189</v>
      </c>
      <c r="B100" t="s">
        <v>270</v>
      </c>
      <c r="C100" t="e">
        <f t="shared" si="1"/>
        <v>#N/A</v>
      </c>
    </row>
    <row r="101" spans="1:3" x14ac:dyDescent="0.25">
      <c r="A101" t="s">
        <v>189</v>
      </c>
      <c r="B101" t="s">
        <v>270</v>
      </c>
      <c r="C101" t="e">
        <f t="shared" si="1"/>
        <v>#N/A</v>
      </c>
    </row>
    <row r="102" spans="1:3" x14ac:dyDescent="0.25">
      <c r="A102" t="s">
        <v>189</v>
      </c>
      <c r="B102" t="s">
        <v>270</v>
      </c>
      <c r="C102" t="e">
        <f t="shared" si="1"/>
        <v>#N/A</v>
      </c>
    </row>
    <row r="103" spans="1:3" x14ac:dyDescent="0.25">
      <c r="A103" t="s">
        <v>140</v>
      </c>
      <c r="B103" t="s">
        <v>141</v>
      </c>
      <c r="C103" t="e">
        <f t="shared" si="1"/>
        <v>#N/A</v>
      </c>
    </row>
    <row r="104" spans="1:3" x14ac:dyDescent="0.25">
      <c r="A104" t="s">
        <v>106</v>
      </c>
      <c r="B104" t="s">
        <v>271</v>
      </c>
      <c r="C104" t="str">
        <f t="shared" si="1"/>
        <v>MAHESHWARI TRADERS</v>
      </c>
    </row>
    <row r="105" spans="1:3" x14ac:dyDescent="0.25">
      <c r="A105" t="s">
        <v>106</v>
      </c>
      <c r="B105" t="s">
        <v>271</v>
      </c>
      <c r="C105" t="str">
        <f t="shared" si="1"/>
        <v>MAHESHWARI TRADERS</v>
      </c>
    </row>
    <row r="106" spans="1:3" x14ac:dyDescent="0.25">
      <c r="A106" t="s">
        <v>106</v>
      </c>
      <c r="B106" t="s">
        <v>271</v>
      </c>
      <c r="C106" t="str">
        <f t="shared" si="1"/>
        <v>MAHESHWARI TRADERS</v>
      </c>
    </row>
  </sheetData>
  <autoFilter ref="A2:E10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13"/>
  <sheetViews>
    <sheetView workbookViewId="0">
      <selection activeCell="I8" sqref="I8"/>
    </sheetView>
  </sheetViews>
  <sheetFormatPr defaultRowHeight="15" x14ac:dyDescent="0.25"/>
  <sheetData>
    <row r="1" spans="1:81" x14ac:dyDescent="0.25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278</v>
      </c>
      <c r="I1" t="s">
        <v>279</v>
      </c>
      <c r="J1" t="s">
        <v>280</v>
      </c>
      <c r="K1" t="s">
        <v>201</v>
      </c>
      <c r="L1" t="s">
        <v>202</v>
      </c>
      <c r="M1" t="s">
        <v>203</v>
      </c>
      <c r="N1" t="s">
        <v>204</v>
      </c>
      <c r="CC1" t="s">
        <v>315</v>
      </c>
    </row>
    <row r="2" spans="1:81" x14ac:dyDescent="0.25">
      <c r="A2" t="s">
        <v>58</v>
      </c>
      <c r="B2" t="s">
        <v>305</v>
      </c>
      <c r="C2" t="s">
        <v>60</v>
      </c>
      <c r="D2" t="s">
        <v>61</v>
      </c>
      <c r="E2" t="s">
        <v>205</v>
      </c>
      <c r="F2" t="s">
        <v>206</v>
      </c>
      <c r="G2">
        <v>4.9996249745518444</v>
      </c>
      <c r="H2">
        <v>933.27</v>
      </c>
      <c r="I2">
        <v>23.33</v>
      </c>
      <c r="J2">
        <v>23.33</v>
      </c>
      <c r="L2">
        <v>0</v>
      </c>
      <c r="CC2" t="s">
        <v>401</v>
      </c>
    </row>
    <row r="3" spans="1:81" x14ac:dyDescent="0.25">
      <c r="A3" t="s">
        <v>58</v>
      </c>
      <c r="B3" t="s">
        <v>305</v>
      </c>
      <c r="C3" t="s">
        <v>62</v>
      </c>
      <c r="D3" t="s">
        <v>63</v>
      </c>
      <c r="E3" t="s">
        <v>205</v>
      </c>
      <c r="F3" t="s">
        <v>206</v>
      </c>
      <c r="G3">
        <v>5.0001643844623809</v>
      </c>
      <c r="H3">
        <v>4866.6400000000003</v>
      </c>
      <c r="I3">
        <v>121.67</v>
      </c>
      <c r="J3">
        <v>121.67</v>
      </c>
      <c r="L3">
        <v>0</v>
      </c>
      <c r="CC3" t="s">
        <v>402</v>
      </c>
    </row>
    <row r="4" spans="1:81" x14ac:dyDescent="0.25">
      <c r="A4" t="s">
        <v>58</v>
      </c>
      <c r="B4" t="s">
        <v>305</v>
      </c>
      <c r="C4" t="s">
        <v>64</v>
      </c>
      <c r="D4" t="s">
        <v>65</v>
      </c>
      <c r="E4" t="s">
        <v>205</v>
      </c>
      <c r="F4" t="s">
        <v>206</v>
      </c>
      <c r="G4">
        <v>5.0013386880856761</v>
      </c>
      <c r="H4">
        <v>373.5</v>
      </c>
      <c r="I4">
        <v>9.34</v>
      </c>
      <c r="J4">
        <v>9.34</v>
      </c>
      <c r="L4">
        <v>0</v>
      </c>
      <c r="CC4" t="s">
        <v>403</v>
      </c>
    </row>
    <row r="5" spans="1:81" x14ac:dyDescent="0.25">
      <c r="A5" t="s">
        <v>106</v>
      </c>
      <c r="B5" t="s">
        <v>308</v>
      </c>
      <c r="C5" t="s">
        <v>108</v>
      </c>
      <c r="D5" t="s">
        <v>109</v>
      </c>
      <c r="E5" t="s">
        <v>205</v>
      </c>
      <c r="F5" t="s">
        <v>206</v>
      </c>
      <c r="G5">
        <v>5.0000488795185039</v>
      </c>
      <c r="H5">
        <v>3068.77</v>
      </c>
      <c r="I5">
        <v>76.72</v>
      </c>
      <c r="J5">
        <v>76.72</v>
      </c>
      <c r="L5">
        <v>0</v>
      </c>
      <c r="CC5" t="s">
        <v>404</v>
      </c>
    </row>
    <row r="6" spans="1:81" x14ac:dyDescent="0.25">
      <c r="A6" t="s">
        <v>106</v>
      </c>
      <c r="B6" t="s">
        <v>308</v>
      </c>
      <c r="C6" t="s">
        <v>110</v>
      </c>
      <c r="D6" t="s">
        <v>111</v>
      </c>
      <c r="E6" t="s">
        <v>205</v>
      </c>
      <c r="F6" t="s">
        <v>206</v>
      </c>
      <c r="G6">
        <v>4.999954545867765</v>
      </c>
      <c r="H6">
        <v>2200.02</v>
      </c>
      <c r="I6">
        <v>55</v>
      </c>
      <c r="J6">
        <v>55</v>
      </c>
      <c r="L6">
        <v>0</v>
      </c>
      <c r="CC6" t="s">
        <v>405</v>
      </c>
    </row>
    <row r="7" spans="1:81" x14ac:dyDescent="0.25">
      <c r="A7" t="s">
        <v>106</v>
      </c>
      <c r="B7" t="s">
        <v>308</v>
      </c>
      <c r="C7" t="s">
        <v>112</v>
      </c>
      <c r="D7" t="s">
        <v>113</v>
      </c>
      <c r="E7" t="s">
        <v>205</v>
      </c>
      <c r="F7" t="s">
        <v>206</v>
      </c>
      <c r="G7">
        <v>4.999819994959859</v>
      </c>
      <c r="H7">
        <v>1388.85</v>
      </c>
      <c r="I7">
        <v>34.72</v>
      </c>
      <c r="J7">
        <v>34.72</v>
      </c>
      <c r="L7">
        <v>0</v>
      </c>
      <c r="CC7" t="s">
        <v>406</v>
      </c>
    </row>
    <row r="8" spans="1:81" x14ac:dyDescent="0.25">
      <c r="A8" t="s">
        <v>106</v>
      </c>
      <c r="B8" t="s">
        <v>308</v>
      </c>
      <c r="C8" t="s">
        <v>114</v>
      </c>
      <c r="D8" t="s">
        <v>115</v>
      </c>
      <c r="E8" t="s">
        <v>205</v>
      </c>
      <c r="F8" t="s">
        <v>206</v>
      </c>
      <c r="G8">
        <v>5.0008654012577169</v>
      </c>
      <c r="H8">
        <v>866.65</v>
      </c>
      <c r="I8">
        <v>21.67</v>
      </c>
      <c r="J8">
        <v>21.67</v>
      </c>
      <c r="L8">
        <v>0</v>
      </c>
      <c r="CC8" t="s">
        <v>407</v>
      </c>
    </row>
    <row r="9" spans="1:81" x14ac:dyDescent="0.25">
      <c r="A9" t="s">
        <v>128</v>
      </c>
      <c r="B9" t="s">
        <v>399</v>
      </c>
      <c r="C9" t="s">
        <v>130</v>
      </c>
      <c r="D9" t="s">
        <v>131</v>
      </c>
      <c r="E9" t="s">
        <v>205</v>
      </c>
      <c r="F9" t="s">
        <v>206</v>
      </c>
      <c r="G9">
        <v>5.0002045910225457</v>
      </c>
      <c r="H9">
        <v>1466.34</v>
      </c>
      <c r="I9">
        <v>36.659999999999997</v>
      </c>
      <c r="J9">
        <v>36.659999999999997</v>
      </c>
      <c r="L9">
        <v>0</v>
      </c>
      <c r="CC9" t="s">
        <v>408</v>
      </c>
    </row>
    <row r="10" spans="1:81" x14ac:dyDescent="0.25">
      <c r="A10" t="s">
        <v>128</v>
      </c>
      <c r="B10" t="s">
        <v>399</v>
      </c>
      <c r="C10" t="s">
        <v>132</v>
      </c>
      <c r="D10" t="s">
        <v>133</v>
      </c>
      <c r="E10" t="s">
        <v>205</v>
      </c>
      <c r="F10" t="s">
        <v>206</v>
      </c>
      <c r="G10">
        <v>4.9989869960305251</v>
      </c>
      <c r="H10">
        <v>1332.67</v>
      </c>
      <c r="I10">
        <v>33.31</v>
      </c>
      <c r="J10">
        <v>33.31</v>
      </c>
      <c r="L10">
        <v>0</v>
      </c>
      <c r="CC10" t="s">
        <v>409</v>
      </c>
    </row>
    <row r="11" spans="1:81" x14ac:dyDescent="0.25">
      <c r="A11" t="s">
        <v>150</v>
      </c>
      <c r="B11" t="s">
        <v>400</v>
      </c>
      <c r="C11" t="s">
        <v>152</v>
      </c>
      <c r="D11" t="s">
        <v>65</v>
      </c>
      <c r="E11" t="s">
        <v>205</v>
      </c>
      <c r="F11" t="s">
        <v>206</v>
      </c>
      <c r="G11">
        <v>4.9997230990751502</v>
      </c>
      <c r="H11">
        <v>1805.7</v>
      </c>
      <c r="I11">
        <v>45.14</v>
      </c>
      <c r="J11">
        <v>45.14</v>
      </c>
      <c r="L11">
        <v>0</v>
      </c>
      <c r="CC11" t="s">
        <v>410</v>
      </c>
    </row>
    <row r="12" spans="1:81" x14ac:dyDescent="0.25">
      <c r="A12" t="s">
        <v>41</v>
      </c>
      <c r="B12" t="s">
        <v>290</v>
      </c>
      <c r="C12" t="s">
        <v>157</v>
      </c>
      <c r="D12" t="s">
        <v>131</v>
      </c>
      <c r="E12" t="s">
        <v>205</v>
      </c>
      <c r="F12" t="s">
        <v>206</v>
      </c>
      <c r="G12">
        <v>5.0000554962714432</v>
      </c>
      <c r="H12">
        <v>12613.46</v>
      </c>
      <c r="I12">
        <v>315.33999999999997</v>
      </c>
      <c r="J12">
        <v>315.33999999999997</v>
      </c>
      <c r="L12">
        <v>0</v>
      </c>
      <c r="CC12" t="s">
        <v>411</v>
      </c>
    </row>
    <row r="13" spans="1:81" x14ac:dyDescent="0.25">
      <c r="A13" t="s">
        <v>41</v>
      </c>
      <c r="B13" t="s">
        <v>290</v>
      </c>
      <c r="C13" t="s">
        <v>158</v>
      </c>
      <c r="D13" t="s">
        <v>159</v>
      </c>
      <c r="E13" t="s">
        <v>205</v>
      </c>
      <c r="F13" t="s">
        <v>206</v>
      </c>
      <c r="G13">
        <v>4.9999099980199562</v>
      </c>
      <c r="H13">
        <v>3333.26</v>
      </c>
      <c r="I13">
        <v>83.33</v>
      </c>
      <c r="J13">
        <v>83.33</v>
      </c>
      <c r="L13">
        <v>0</v>
      </c>
      <c r="CC13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RMHAC29</dc:creator>
  <cp:lastModifiedBy>RMHAC29</cp:lastModifiedBy>
  <dcterms:created xsi:type="dcterms:W3CDTF">2026-06-15T08:52:58Z</dcterms:created>
  <dcterms:modified xsi:type="dcterms:W3CDTF">2026-06-16T06:03:55Z</dcterms:modified>
</cp:coreProperties>
</file>