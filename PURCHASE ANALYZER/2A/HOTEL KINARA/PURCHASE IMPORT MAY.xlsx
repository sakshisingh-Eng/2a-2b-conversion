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HOTEL KINARA FIRM\GST\2025-26\2. May-25\2A &amp; PUR IMPORT\"/>
    </mc:Choice>
  </mc:AlternateContent>
  <bookViews>
    <workbookView xWindow="-120" yWindow="-120" windowWidth="20730" windowHeight="11160" activeTab="1"/>
  </bookViews>
  <sheets>
    <sheet name="Sheet1" sheetId="1" r:id="rId1"/>
    <sheet name="Sheet2" sheetId="2" r:id="rId2"/>
  </sheets>
  <definedNames>
    <definedName name="_xlnm._FilterDatabase" localSheetId="0" hidden="1">Sheet1!$A$3:$E$3</definedName>
    <definedName name="_xlnm._FilterDatabase" localSheetId="1" hidden="1">Sheet2!$A$1:$U$53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4" i="1"/>
</calcChain>
</file>

<file path=xl/sharedStrings.xml><?xml version="1.0" encoding="utf-8"?>
<sst xmlns="http://schemas.openxmlformats.org/spreadsheetml/2006/main" count="554" uniqueCount="119">
  <si>
    <t>27AHXPG7714R1ZA</t>
  </si>
  <si>
    <t>ASHOK TULSHIRAM GAIKWAD</t>
  </si>
  <si>
    <t>INVV04-2502316</t>
  </si>
  <si>
    <t>04-05-2025</t>
  </si>
  <si>
    <t>INVV04-2502411</t>
  </si>
  <si>
    <t>07-05-2025</t>
  </si>
  <si>
    <t>INVV04-2502492</t>
  </si>
  <si>
    <t>10-05-2025</t>
  </si>
  <si>
    <t>INVV04-2502556</t>
  </si>
  <si>
    <t>14-05-2025</t>
  </si>
  <si>
    <t>INVV04-2502614</t>
  </si>
  <si>
    <t>17-05-2025</t>
  </si>
  <si>
    <t>INVV04-2502660</t>
  </si>
  <si>
    <t>21-05-2025</t>
  </si>
  <si>
    <t>INVV04-2502726</t>
  </si>
  <si>
    <t>24-05-2025</t>
  </si>
  <si>
    <t>INVV04-2502831</t>
  </si>
  <si>
    <t>28-05-2025</t>
  </si>
  <si>
    <t>INVV04-2502916</t>
  </si>
  <si>
    <t>31-05-2025</t>
  </si>
  <si>
    <t>27AAACH2702H3ZY</t>
  </si>
  <si>
    <t>HDFC BANK LIMITED</t>
  </si>
  <si>
    <t>27ADWFS3449L1Z4</t>
  </si>
  <si>
    <t>SHREEJI ENTERPRISE</t>
  </si>
  <si>
    <t>355</t>
  </si>
  <si>
    <t>20-05-2025</t>
  </si>
  <si>
    <t>27DIZPK3245R1Z4</t>
  </si>
  <si>
    <t>AFZAL MOHD IQBAL KHIMANI</t>
  </si>
  <si>
    <t>SI10812526-01100</t>
  </si>
  <si>
    <t>06-05-2025</t>
  </si>
  <si>
    <t>SI10812526-01248</t>
  </si>
  <si>
    <t>13-05-2025</t>
  </si>
  <si>
    <t>SI10812526-01453</t>
  </si>
  <si>
    <t>27AAPFK9678R1ZU</t>
  </si>
  <si>
    <t>KITCHEN TECH</t>
  </si>
  <si>
    <t>KTI/083/25-26</t>
  </si>
  <si>
    <t>27AVTPM1741J1Z4</t>
  </si>
  <si>
    <t>KUMUD VIKAS MEHRA</t>
  </si>
  <si>
    <t>0284/25-26</t>
  </si>
  <si>
    <t>0339/25-26</t>
  </si>
  <si>
    <t>0387/25-26</t>
  </si>
  <si>
    <t>0439/25-26</t>
  </si>
  <si>
    <t>27-05-2025</t>
  </si>
  <si>
    <t>27AAACZ8867B1Z0</t>
  </si>
  <si>
    <t>ZOMATO HYPERPURE PRIVATE LIMITED</t>
  </si>
  <si>
    <t>ZDCMH26-00031003</t>
  </si>
  <si>
    <t>08-05-2025</t>
  </si>
  <si>
    <t>ZDCMH26-00042813</t>
  </si>
  <si>
    <t>ZDCMH26-00049901</t>
  </si>
  <si>
    <t>29-05-2025</t>
  </si>
  <si>
    <t>ZHPMH26-00087703</t>
  </si>
  <si>
    <t>ZHPMH26-00119090</t>
  </si>
  <si>
    <t>ZHPMH26-00137676</t>
  </si>
  <si>
    <t>27AANFS6073J1ZL</t>
  </si>
  <si>
    <t>SAURASHTRA OIL DEPOT</t>
  </si>
  <si>
    <t>2526-1210</t>
  </si>
  <si>
    <t>YASH ENTERPRISES</t>
  </si>
  <si>
    <t>GALAXY ENTERPRISES</t>
  </si>
  <si>
    <t>JIHAN ENTERPRISES</t>
  </si>
  <si>
    <t>2A</t>
  </si>
  <si>
    <t>2B</t>
  </si>
  <si>
    <t>GSTIN</t>
  </si>
  <si>
    <t>PARTY NAME</t>
  </si>
  <si>
    <t>GST.NO.</t>
  </si>
  <si>
    <t>VOUCHER NO</t>
  </si>
  <si>
    <t>DATE</t>
  </si>
  <si>
    <t>NARRATION</t>
  </si>
  <si>
    <t xml:space="preserve">VOUCHER TYPE </t>
  </si>
  <si>
    <t>GST RATE</t>
  </si>
  <si>
    <t>Taxfree Purchase</t>
  </si>
  <si>
    <t>Purchase GST @ 5%</t>
  </si>
  <si>
    <t>Input Cgst @ 2.5%</t>
  </si>
  <si>
    <t>Input Sgst @ 2.5%</t>
  </si>
  <si>
    <t>Purchase GST @ 12%</t>
  </si>
  <si>
    <t>Input Cgst @ 6%</t>
  </si>
  <si>
    <t>Input Sgst @ 6%</t>
  </si>
  <si>
    <t>Purchase GST @ 18%</t>
  </si>
  <si>
    <t>Input Cgst @ 9%</t>
  </si>
  <si>
    <t>Input Sgst @ 9%</t>
  </si>
  <si>
    <t>Purchase GST @  28%</t>
  </si>
  <si>
    <t>Input Cgst @ 14%</t>
  </si>
  <si>
    <t>Input Sgst @ 14%</t>
  </si>
  <si>
    <t>CESS @28%</t>
  </si>
  <si>
    <t>BEING PURCHASE RECORDED</t>
  </si>
  <si>
    <t>Purchase New</t>
  </si>
  <si>
    <t>Yash Enterprises</t>
  </si>
  <si>
    <t>Shreeji Enterprise</t>
  </si>
  <si>
    <t>Galaxy Enterprises</t>
  </si>
  <si>
    <t>Kitchen Tech</t>
  </si>
  <si>
    <t>Jihan Enterprises</t>
  </si>
  <si>
    <t>Zomato Hyperpure Private Limited</t>
  </si>
  <si>
    <t>Saurashtra Oil Depot</t>
  </si>
  <si>
    <t>Error</t>
  </si>
  <si>
    <t>INVV04-2502316Yash Enterprises. Done!</t>
  </si>
  <si>
    <t>SI10812526-01100Galaxy Enterprises. Done!</t>
  </si>
  <si>
    <t>Continue...</t>
  </si>
  <si>
    <t>0284/25-26Jihan Enterprises. Done!</t>
  </si>
  <si>
    <t>INVV04-2502411Yash Enterprises. Done!</t>
  </si>
  <si>
    <t>ZDCMH26-00031003Zomato Hyperpure Private Limited. Done!</t>
  </si>
  <si>
    <t>ZHPMH26-00087703Zomato Hyperpure Private Limited. Done!</t>
  </si>
  <si>
    <t>INVV04-2502492Yash Enterprises. Done!</t>
  </si>
  <si>
    <t>2526-1210Saurashtra Oil Depot. Done!</t>
  </si>
  <si>
    <t>SI10812526-01248Galaxy Enterprises. Done!</t>
  </si>
  <si>
    <t>0339/25-26Jihan Enterprises. Done!</t>
  </si>
  <si>
    <t>INVV04-2502556Yash Enterprises. Done!</t>
  </si>
  <si>
    <t>INVV04-2502614Yash Enterprises. Done!</t>
  </si>
  <si>
    <t>355Shreeji Enterprise. Done!</t>
  </si>
  <si>
    <t>SI10812526-01453Galaxy Enterprises. Done!</t>
  </si>
  <si>
    <t>0387/25-26Jihan Enterprises. Done!</t>
  </si>
  <si>
    <t>INVV04-2502660Yash Enterprises. Done!</t>
  </si>
  <si>
    <t>ZDCMH26-00042813Zomato Hyperpure Private Limited. Done!</t>
  </si>
  <si>
    <t>ZHPMH26-00119090Zomato Hyperpure Private Limited. Done!</t>
  </si>
  <si>
    <t>INVV04-2502726Yash Enterprises. Done!</t>
  </si>
  <si>
    <t>KTI/083/25-26Kitchen Tech. Done!</t>
  </si>
  <si>
    <t>0439/25-26Jihan Enterprises. Done!</t>
  </si>
  <si>
    <t>INVV04-2502831Yash Enterprises. Done!</t>
  </si>
  <si>
    <t>ZDCMH26-00049901Zomato Hyperpure Private Limited. Done!</t>
  </si>
  <si>
    <t>ZHPMH26-00137676Zomato Hyperpure Private Limited. Done!</t>
  </si>
  <si>
    <t>INVV04-2502916Yash Enterprises.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</si>
</sst>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1" xfId="0" applyFont="1" applyBorder="1"/>
    <xf numFmtId="0" fontId="0" fillId="0" borderId="1" xfId="0" applyBorder="1"/>
    <xf numFmtId="44" fontId="0" fillId="0" borderId="0" xfId="0" applyNumberFormat="1"/>
    <xf numFmtId="43" fontId="0" fillId="0" borderId="1" xfId="1" applyFont="1" applyBorder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7"/>
  <sheetViews>
    <sheetView topLeftCell="A3" workbookViewId="0">
      <selection activeCell="B3" sqref="B3"/>
    </sheetView>
  </sheetViews>
  <sheetFormatPr defaultRowHeight="14.25"/>
  <sheetData>
    <row r="2" spans="1:5">
      <c r="A2" s="7" t="s">
        <v>59</v>
      </c>
      <c r="B2" s="7"/>
      <c r="D2" s="7" t="s">
        <v>60</v>
      </c>
      <c r="E2" s="7"/>
    </row>
    <row r="3" spans="1:5" ht="15">
      <c r="A3" s="2" t="s">
        <v>61</v>
      </c>
      <c r="B3" s="2" t="s">
        <v>62</v>
      </c>
      <c r="D3" s="2" t="s">
        <v>61</v>
      </c>
      <c r="E3" s="2" t="s">
        <v>62</v>
      </c>
    </row>
    <row r="4" spans="1:5" ht="15">
      <c r="A4" t="s">
        <v>0</v>
      </c>
      <c r="B4" t="s">
        <v>1</v>
      </c>
      <c r="C4" t="str">
        <f>+VLOOKUP(A4,$D$3:$E$48,2,FALSE)</f>
        <v>YASH ENTERPRISES</v>
      </c>
      <c r="D4" s="1" t="s">
        <v>0</v>
      </c>
      <c r="E4" s="1" t="s">
        <v>56</v>
      </c>
    </row>
    <row r="5" spans="1:5" ht="15">
      <c r="A5" t="s">
        <v>0</v>
      </c>
      <c r="B5" t="s">
        <v>1</v>
      </c>
      <c r="C5" t="str">
        <f t="shared" ref="C5:C57" si="0">+VLOOKUP(A5,$D$3:$E$48,2,FALSE)</f>
        <v>YASH ENTERPRISES</v>
      </c>
      <c r="D5" s="1" t="s">
        <v>26</v>
      </c>
      <c r="E5" s="1" t="s">
        <v>57</v>
      </c>
    </row>
    <row r="6" spans="1:5" ht="15">
      <c r="A6" t="s">
        <v>0</v>
      </c>
      <c r="B6" t="s">
        <v>1</v>
      </c>
      <c r="C6" t="str">
        <f t="shared" si="0"/>
        <v>YASH ENTERPRISES</v>
      </c>
      <c r="D6" s="1" t="s">
        <v>36</v>
      </c>
      <c r="E6" s="1" t="s">
        <v>58</v>
      </c>
    </row>
    <row r="7" spans="1:5" ht="15">
      <c r="A7" t="s">
        <v>0</v>
      </c>
      <c r="B7" t="s">
        <v>1</v>
      </c>
      <c r="C7" t="str">
        <f t="shared" si="0"/>
        <v>YASH ENTERPRISES</v>
      </c>
      <c r="D7" s="1" t="s">
        <v>0</v>
      </c>
      <c r="E7" s="1" t="s">
        <v>56</v>
      </c>
    </row>
    <row r="8" spans="1:5" ht="15">
      <c r="A8" t="s">
        <v>0</v>
      </c>
      <c r="B8" t="s">
        <v>1</v>
      </c>
      <c r="C8" t="str">
        <f t="shared" si="0"/>
        <v>YASH ENTERPRISES</v>
      </c>
      <c r="D8" s="1" t="s">
        <v>43</v>
      </c>
      <c r="E8" s="1" t="s">
        <v>44</v>
      </c>
    </row>
    <row r="9" spans="1:5" ht="15">
      <c r="A9" t="s">
        <v>0</v>
      </c>
      <c r="B9" t="s">
        <v>1</v>
      </c>
      <c r="C9" t="str">
        <f t="shared" si="0"/>
        <v>YASH ENTERPRISES</v>
      </c>
      <c r="D9" s="1" t="s">
        <v>43</v>
      </c>
      <c r="E9" s="1" t="s">
        <v>44</v>
      </c>
    </row>
    <row r="10" spans="1:5" ht="15">
      <c r="A10" t="s">
        <v>0</v>
      </c>
      <c r="B10" t="s">
        <v>1</v>
      </c>
      <c r="C10" t="str">
        <f t="shared" si="0"/>
        <v>YASH ENTERPRISES</v>
      </c>
      <c r="D10" s="1" t="s">
        <v>53</v>
      </c>
      <c r="E10" s="1" t="s">
        <v>54</v>
      </c>
    </row>
    <row r="11" spans="1:5" ht="15">
      <c r="A11" t="s">
        <v>0</v>
      </c>
      <c r="B11" t="s">
        <v>1</v>
      </c>
      <c r="C11" t="str">
        <f t="shared" si="0"/>
        <v>YASH ENTERPRISES</v>
      </c>
      <c r="D11" s="1" t="s">
        <v>0</v>
      </c>
      <c r="E11" s="1" t="s">
        <v>56</v>
      </c>
    </row>
    <row r="12" spans="1:5" ht="15">
      <c r="A12" t="s">
        <v>0</v>
      </c>
      <c r="B12" t="s">
        <v>1</v>
      </c>
      <c r="C12" t="str">
        <f t="shared" si="0"/>
        <v>YASH ENTERPRISES</v>
      </c>
      <c r="D12" s="1" t="s">
        <v>26</v>
      </c>
      <c r="E12" s="1" t="s">
        <v>57</v>
      </c>
    </row>
    <row r="13" spans="1:5" ht="15">
      <c r="A13" t="s">
        <v>0</v>
      </c>
      <c r="B13" t="s">
        <v>1</v>
      </c>
      <c r="C13" t="str">
        <f t="shared" si="0"/>
        <v>YASH ENTERPRISES</v>
      </c>
      <c r="D13" s="1" t="s">
        <v>36</v>
      </c>
      <c r="E13" s="1" t="s">
        <v>58</v>
      </c>
    </row>
    <row r="14" spans="1:5" ht="15">
      <c r="A14" t="s">
        <v>0</v>
      </c>
      <c r="B14" t="s">
        <v>1</v>
      </c>
      <c r="C14" t="str">
        <f t="shared" si="0"/>
        <v>YASH ENTERPRISES</v>
      </c>
      <c r="D14" s="1" t="s">
        <v>0</v>
      </c>
      <c r="E14" s="1" t="s">
        <v>56</v>
      </c>
    </row>
    <row r="15" spans="1:5" ht="15">
      <c r="A15" t="s">
        <v>0</v>
      </c>
      <c r="B15" t="s">
        <v>1</v>
      </c>
      <c r="C15" t="str">
        <f t="shared" si="0"/>
        <v>YASH ENTERPRISES</v>
      </c>
      <c r="D15" s="1" t="s">
        <v>0</v>
      </c>
      <c r="E15" s="1" t="s">
        <v>56</v>
      </c>
    </row>
    <row r="16" spans="1:5" ht="15">
      <c r="A16" t="s">
        <v>0</v>
      </c>
      <c r="B16" t="s">
        <v>1</v>
      </c>
      <c r="C16" t="str">
        <f t="shared" si="0"/>
        <v>YASH ENTERPRISES</v>
      </c>
      <c r="D16" s="1" t="s">
        <v>22</v>
      </c>
      <c r="E16" s="1" t="s">
        <v>23</v>
      </c>
    </row>
    <row r="17" spans="1:5" ht="15">
      <c r="A17" t="s">
        <v>0</v>
      </c>
      <c r="B17" t="s">
        <v>1</v>
      </c>
      <c r="C17" t="str">
        <f t="shared" si="0"/>
        <v>YASH ENTERPRISES</v>
      </c>
      <c r="D17" s="1" t="s">
        <v>26</v>
      </c>
      <c r="E17" s="1" t="s">
        <v>57</v>
      </c>
    </row>
    <row r="18" spans="1:5" ht="15">
      <c r="A18" t="s">
        <v>0</v>
      </c>
      <c r="B18" t="s">
        <v>1</v>
      </c>
      <c r="C18" t="str">
        <f t="shared" si="0"/>
        <v>YASH ENTERPRISES</v>
      </c>
      <c r="D18" s="1" t="s">
        <v>36</v>
      </c>
      <c r="E18" s="1" t="s">
        <v>58</v>
      </c>
    </row>
    <row r="19" spans="1:5" ht="15">
      <c r="A19" t="s">
        <v>0</v>
      </c>
      <c r="B19" t="s">
        <v>1</v>
      </c>
      <c r="C19" t="str">
        <f t="shared" si="0"/>
        <v>YASH ENTERPRISES</v>
      </c>
      <c r="D19" s="1" t="s">
        <v>43</v>
      </c>
      <c r="E19" s="1" t="s">
        <v>44</v>
      </c>
    </row>
    <row r="20" spans="1:5" ht="15">
      <c r="A20" t="s">
        <v>0</v>
      </c>
      <c r="B20" t="s">
        <v>1</v>
      </c>
      <c r="C20" t="str">
        <f t="shared" si="0"/>
        <v>YASH ENTERPRISES</v>
      </c>
      <c r="D20" s="1" t="s">
        <v>43</v>
      </c>
      <c r="E20" s="1" t="s">
        <v>44</v>
      </c>
    </row>
    <row r="21" spans="1:5" ht="15">
      <c r="A21" t="s">
        <v>0</v>
      </c>
      <c r="B21" t="s">
        <v>1</v>
      </c>
      <c r="C21" t="str">
        <f t="shared" si="0"/>
        <v>YASH ENTERPRISES</v>
      </c>
      <c r="D21" s="1" t="s">
        <v>0</v>
      </c>
      <c r="E21" s="1" t="s">
        <v>56</v>
      </c>
    </row>
    <row r="22" spans="1:5" ht="15">
      <c r="A22" t="s">
        <v>0</v>
      </c>
      <c r="B22" t="s">
        <v>1</v>
      </c>
      <c r="C22" t="str">
        <f t="shared" si="0"/>
        <v>YASH ENTERPRISES</v>
      </c>
      <c r="D22" s="1" t="s">
        <v>33</v>
      </c>
      <c r="E22" s="1" t="s">
        <v>34</v>
      </c>
    </row>
    <row r="23" spans="1:5" ht="15">
      <c r="A23" t="s">
        <v>20</v>
      </c>
      <c r="B23" t="s">
        <v>21</v>
      </c>
      <c r="C23" t="str">
        <f t="shared" si="0"/>
        <v>HDFC BANK LIMITED</v>
      </c>
      <c r="D23" s="1" t="s">
        <v>0</v>
      </c>
      <c r="E23" s="1" t="s">
        <v>56</v>
      </c>
    </row>
    <row r="24" spans="1:5" ht="15">
      <c r="A24" t="s">
        <v>20</v>
      </c>
      <c r="B24" t="s">
        <v>21</v>
      </c>
      <c r="C24" t="str">
        <f t="shared" si="0"/>
        <v>HDFC BANK LIMITED</v>
      </c>
      <c r="D24" s="1" t="s">
        <v>36</v>
      </c>
      <c r="E24" s="1" t="s">
        <v>58</v>
      </c>
    </row>
    <row r="25" spans="1:5" ht="15">
      <c r="A25" t="s">
        <v>22</v>
      </c>
      <c r="B25" t="s">
        <v>23</v>
      </c>
      <c r="C25" t="str">
        <f t="shared" si="0"/>
        <v>SHREEJI ENTERPRISE</v>
      </c>
      <c r="D25" s="1" t="s">
        <v>0</v>
      </c>
      <c r="E25" s="1" t="s">
        <v>56</v>
      </c>
    </row>
    <row r="26" spans="1:5" ht="15">
      <c r="A26" t="s">
        <v>26</v>
      </c>
      <c r="B26" t="s">
        <v>27</v>
      </c>
      <c r="C26" t="str">
        <f t="shared" si="0"/>
        <v>GALAXY ENTERPRISES</v>
      </c>
      <c r="D26" s="1" t="s">
        <v>43</v>
      </c>
      <c r="E26" s="1" t="s">
        <v>44</v>
      </c>
    </row>
    <row r="27" spans="1:5" ht="15">
      <c r="A27" t="s">
        <v>26</v>
      </c>
      <c r="B27" t="s">
        <v>27</v>
      </c>
      <c r="C27" t="str">
        <f t="shared" si="0"/>
        <v>GALAXY ENTERPRISES</v>
      </c>
      <c r="D27" s="1" t="s">
        <v>43</v>
      </c>
      <c r="E27" s="1" t="s">
        <v>44</v>
      </c>
    </row>
    <row r="28" spans="1:5" ht="15">
      <c r="A28" t="s">
        <v>26</v>
      </c>
      <c r="B28" t="s">
        <v>27</v>
      </c>
      <c r="C28" t="str">
        <f t="shared" si="0"/>
        <v>GALAXY ENTERPRISES</v>
      </c>
      <c r="D28" s="1" t="s">
        <v>20</v>
      </c>
      <c r="E28" s="1" t="s">
        <v>21</v>
      </c>
    </row>
    <row r="29" spans="1:5" ht="15">
      <c r="A29" t="s">
        <v>33</v>
      </c>
      <c r="B29" t="s">
        <v>34</v>
      </c>
      <c r="C29" t="str">
        <f t="shared" si="0"/>
        <v>KITCHEN TECH</v>
      </c>
      <c r="D29" s="1" t="s">
        <v>20</v>
      </c>
      <c r="E29" s="1" t="s">
        <v>21</v>
      </c>
    </row>
    <row r="30" spans="1:5" ht="15">
      <c r="A30" t="s">
        <v>36</v>
      </c>
      <c r="B30" t="s">
        <v>37</v>
      </c>
      <c r="C30" t="str">
        <f t="shared" si="0"/>
        <v>JIHAN ENTERPRISES</v>
      </c>
      <c r="D30" s="1" t="s">
        <v>0</v>
      </c>
      <c r="E30" s="1" t="s">
        <v>56</v>
      </c>
    </row>
    <row r="31" spans="1:5">
      <c r="A31" t="s">
        <v>36</v>
      </c>
      <c r="B31" t="s">
        <v>37</v>
      </c>
      <c r="C31" t="str">
        <f t="shared" si="0"/>
        <v>JIHAN ENTERPRISES</v>
      </c>
    </row>
    <row r="32" spans="1:5">
      <c r="A32" t="s">
        <v>36</v>
      </c>
      <c r="B32" t="s">
        <v>37</v>
      </c>
      <c r="C32" t="str">
        <f t="shared" si="0"/>
        <v>JIHAN ENTERPRISES</v>
      </c>
    </row>
    <row r="33" spans="1:3">
      <c r="A33" t="s">
        <v>36</v>
      </c>
      <c r="B33" t="s">
        <v>37</v>
      </c>
      <c r="C33" t="str">
        <f t="shared" si="0"/>
        <v>JIHAN ENTERPRISES</v>
      </c>
    </row>
    <row r="34" spans="1:3">
      <c r="A34" t="s">
        <v>36</v>
      </c>
      <c r="B34" t="s">
        <v>37</v>
      </c>
      <c r="C34" t="str">
        <f t="shared" si="0"/>
        <v>JIHAN ENTERPRISES</v>
      </c>
    </row>
    <row r="35" spans="1:3">
      <c r="A35" t="s">
        <v>36</v>
      </c>
      <c r="B35" t="s">
        <v>37</v>
      </c>
      <c r="C35" t="str">
        <f t="shared" si="0"/>
        <v>JIHAN ENTERPRISES</v>
      </c>
    </row>
    <row r="36" spans="1:3">
      <c r="A36" t="s">
        <v>36</v>
      </c>
      <c r="B36" t="s">
        <v>37</v>
      </c>
      <c r="C36" t="str">
        <f t="shared" si="0"/>
        <v>JIHAN ENTERPRISES</v>
      </c>
    </row>
    <row r="37" spans="1:3">
      <c r="A37" t="s">
        <v>36</v>
      </c>
      <c r="B37" t="s">
        <v>37</v>
      </c>
      <c r="C37" t="str">
        <f t="shared" si="0"/>
        <v>JIHAN ENTERPRISES</v>
      </c>
    </row>
    <row r="38" spans="1:3">
      <c r="A38" t="s">
        <v>36</v>
      </c>
      <c r="B38" t="s">
        <v>37</v>
      </c>
      <c r="C38" t="str">
        <f t="shared" si="0"/>
        <v>JIHAN ENTERPRISES</v>
      </c>
    </row>
    <row r="39" spans="1:3">
      <c r="A39" t="s">
        <v>36</v>
      </c>
      <c r="B39" t="s">
        <v>37</v>
      </c>
      <c r="C39" t="str">
        <f t="shared" si="0"/>
        <v>JIHAN ENTERPRISES</v>
      </c>
    </row>
    <row r="40" spans="1:3">
      <c r="A40" t="s">
        <v>36</v>
      </c>
      <c r="B40" t="s">
        <v>37</v>
      </c>
      <c r="C40" t="str">
        <f t="shared" si="0"/>
        <v>JIHAN ENTERPRISES</v>
      </c>
    </row>
    <row r="41" spans="1:3">
      <c r="A41" t="s">
        <v>36</v>
      </c>
      <c r="B41" t="s">
        <v>37</v>
      </c>
      <c r="C41" t="str">
        <f t="shared" si="0"/>
        <v>JIHAN ENTERPRISES</v>
      </c>
    </row>
    <row r="42" spans="1:3">
      <c r="A42" t="s">
        <v>36</v>
      </c>
      <c r="B42" t="s">
        <v>37</v>
      </c>
      <c r="C42" t="str">
        <f t="shared" si="0"/>
        <v>JIHAN ENTERPRISES</v>
      </c>
    </row>
    <row r="43" spans="1:3">
      <c r="A43" t="s">
        <v>36</v>
      </c>
      <c r="B43" t="s">
        <v>37</v>
      </c>
      <c r="C43" t="str">
        <f t="shared" si="0"/>
        <v>JIHAN ENTERPRISES</v>
      </c>
    </row>
    <row r="44" spans="1:3">
      <c r="A44" t="s">
        <v>36</v>
      </c>
      <c r="B44" t="s">
        <v>37</v>
      </c>
      <c r="C44" t="str">
        <f t="shared" si="0"/>
        <v>JIHAN ENTERPRISES</v>
      </c>
    </row>
    <row r="45" spans="1:3">
      <c r="A45" t="s">
        <v>36</v>
      </c>
      <c r="B45" t="s">
        <v>37</v>
      </c>
      <c r="C45" t="str">
        <f t="shared" si="0"/>
        <v>JIHAN ENTERPRISES</v>
      </c>
    </row>
    <row r="46" spans="1:3">
      <c r="A46" t="s">
        <v>43</v>
      </c>
      <c r="B46" t="s">
        <v>44</v>
      </c>
      <c r="C46" t="str">
        <f t="shared" si="0"/>
        <v>ZOMATO HYPERPURE PRIVATE LIMITED</v>
      </c>
    </row>
    <row r="47" spans="1:3">
      <c r="A47" t="s">
        <v>43</v>
      </c>
      <c r="B47" t="s">
        <v>44</v>
      </c>
      <c r="C47" t="str">
        <f t="shared" si="0"/>
        <v>ZOMATO HYPERPURE PRIVATE LIMITED</v>
      </c>
    </row>
    <row r="48" spans="1:3">
      <c r="A48" t="s">
        <v>43</v>
      </c>
      <c r="B48" t="s">
        <v>44</v>
      </c>
      <c r="C48" t="str">
        <f t="shared" si="0"/>
        <v>ZOMATO HYPERPURE PRIVATE LIMITED</v>
      </c>
    </row>
    <row r="49" spans="1:3">
      <c r="A49" t="s">
        <v>43</v>
      </c>
      <c r="B49" t="s">
        <v>44</v>
      </c>
      <c r="C49" t="str">
        <f t="shared" si="0"/>
        <v>ZOMATO HYPERPURE PRIVATE LIMITED</v>
      </c>
    </row>
    <row r="50" spans="1:3">
      <c r="A50" t="s">
        <v>43</v>
      </c>
      <c r="B50" t="s">
        <v>44</v>
      </c>
      <c r="C50" t="str">
        <f t="shared" si="0"/>
        <v>ZOMATO HYPERPURE PRIVATE LIMITED</v>
      </c>
    </row>
    <row r="51" spans="1:3">
      <c r="A51" t="s">
        <v>43</v>
      </c>
      <c r="B51" t="s">
        <v>44</v>
      </c>
      <c r="C51" t="str">
        <f t="shared" si="0"/>
        <v>ZOMATO HYPERPURE PRIVATE LIMITED</v>
      </c>
    </row>
    <row r="52" spans="1:3">
      <c r="A52" t="s">
        <v>43</v>
      </c>
      <c r="B52" t="s">
        <v>44</v>
      </c>
      <c r="C52" t="str">
        <f t="shared" si="0"/>
        <v>ZOMATO HYPERPURE PRIVATE LIMITED</v>
      </c>
    </row>
    <row r="53" spans="1:3">
      <c r="A53" t="s">
        <v>43</v>
      </c>
      <c r="B53" t="s">
        <v>44</v>
      </c>
      <c r="C53" t="str">
        <f t="shared" si="0"/>
        <v>ZOMATO HYPERPURE PRIVATE LIMITED</v>
      </c>
    </row>
    <row r="54" spans="1:3">
      <c r="A54" t="s">
        <v>43</v>
      </c>
      <c r="B54" t="s">
        <v>44</v>
      </c>
      <c r="C54" t="str">
        <f t="shared" si="0"/>
        <v>ZOMATO HYPERPURE PRIVATE LIMITED</v>
      </c>
    </row>
    <row r="55" spans="1:3">
      <c r="A55" t="s">
        <v>43</v>
      </c>
      <c r="B55" t="s">
        <v>44</v>
      </c>
      <c r="C55" t="str">
        <f t="shared" si="0"/>
        <v>ZOMATO HYPERPURE PRIVATE LIMITED</v>
      </c>
    </row>
    <row r="56" spans="1:3">
      <c r="A56" t="s">
        <v>43</v>
      </c>
      <c r="B56" t="s">
        <v>44</v>
      </c>
      <c r="C56" t="str">
        <f t="shared" si="0"/>
        <v>ZOMATO HYPERPURE PRIVATE LIMITED</v>
      </c>
    </row>
    <row r="57" spans="1:3">
      <c r="A57" t="s">
        <v>53</v>
      </c>
      <c r="B57" t="s">
        <v>54</v>
      </c>
      <c r="C57" t="str">
        <f t="shared" si="0"/>
        <v>SAURASHTRA OIL DEPOT</v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3"/>
  <sheetViews>
    <sheetView tabSelected="1" workbookViewId="0">
      <selection activeCell="C1" sqref="C1"/>
    </sheetView>
  </sheetViews>
  <sheetFormatPr defaultRowHeight="14.25"/>
  <cols>
    <col min="1" max="1" width="17.625" bestFit="1" customWidth="1"/>
    <col min="2" max="2" width="18.25" bestFit="1" customWidth="1"/>
    <col min="3" max="3" width="10.375" bestFit="1" customWidth="1"/>
    <col min="4" max="4" width="14.75" bestFit="1" customWidth="1"/>
    <col min="5" max="5" width="26.375" bestFit="1" customWidth="1"/>
    <col min="6" max="6" width="17.875" bestFit="1" customWidth="1"/>
    <col min="7" max="7" width="11.875" bestFit="1" customWidth="1"/>
    <col min="8" max="8" width="18.875" style="5" bestFit="1" customWidth="1"/>
    <col min="9" max="9" width="20.875" style="5" bestFit="1" customWidth="1"/>
    <col min="10" max="10" width="19.25" style="5" bestFit="1" customWidth="1"/>
    <col min="11" max="11" width="19" style="5" bestFit="1" customWidth="1"/>
    <col min="12" max="12" width="21.875" style="5" bestFit="1" customWidth="1"/>
    <col min="13" max="13" width="17.75" style="5" bestFit="1" customWidth="1"/>
    <col min="14" max="14" width="17.375" style="5" bestFit="1" customWidth="1"/>
    <col min="15" max="15" width="21.875" style="5" bestFit="1" customWidth="1"/>
    <col min="16" max="16" width="17.75" style="5" bestFit="1" customWidth="1"/>
    <col min="17" max="17" width="17.375" style="5" bestFit="1" customWidth="1"/>
    <col min="18" max="18" width="22.25" style="5" bestFit="1" customWidth="1"/>
    <col min="19" max="19" width="18.75" style="5" bestFit="1" customWidth="1"/>
    <col min="20" max="20" width="18.375" style="5" bestFit="1" customWidth="1"/>
    <col min="21" max="21" width="13.75" style="5" bestFit="1" customWidth="1"/>
  </cols>
  <sheetData>
    <row r="1" spans="1:81" ht="15">
      <c r="A1" s="3" t="s">
        <v>63</v>
      </c>
      <c r="B1" s="3" t="s">
        <v>64</v>
      </c>
      <c r="C1" s="3" t="s">
        <v>65</v>
      </c>
      <c r="D1" s="3" t="s">
        <v>62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81</v>
      </c>
      <c r="U1" s="3" t="s">
        <v>82</v>
      </c>
      <c r="CC1" t="s">
        <v>92</v>
      </c>
    </row>
    <row r="2" spans="1:81">
      <c r="A2" s="4" t="s">
        <v>0</v>
      </c>
      <c r="B2" s="4" t="s">
        <v>2</v>
      </c>
      <c r="C2" s="4" t="s">
        <v>3</v>
      </c>
      <c r="D2" s="4" t="s">
        <v>85</v>
      </c>
      <c r="E2" s="4" t="s">
        <v>83</v>
      </c>
      <c r="F2" s="4" t="s">
        <v>84</v>
      </c>
      <c r="G2" s="4">
        <v>28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308.64</v>
      </c>
      <c r="S2" s="6">
        <v>43.21</v>
      </c>
      <c r="T2" s="6">
        <v>43.21</v>
      </c>
      <c r="U2" s="6">
        <v>37.04</v>
      </c>
      <c r="CC2" t="s">
        <v>93</v>
      </c>
    </row>
    <row r="3" spans="1:81">
      <c r="A3" s="4" t="s">
        <v>26</v>
      </c>
      <c r="B3" s="4" t="s">
        <v>28</v>
      </c>
      <c r="C3" s="4" t="s">
        <v>29</v>
      </c>
      <c r="D3" s="4" t="s">
        <v>87</v>
      </c>
      <c r="E3" s="4" t="s">
        <v>83</v>
      </c>
      <c r="F3" s="4" t="s">
        <v>84</v>
      </c>
      <c r="G3" s="4">
        <v>18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1468.45</v>
      </c>
      <c r="P3" s="6">
        <v>132.16</v>
      </c>
      <c r="Q3" s="6">
        <v>132.16</v>
      </c>
      <c r="R3" s="6">
        <v>0</v>
      </c>
      <c r="S3" s="6">
        <v>0</v>
      </c>
      <c r="T3" s="6">
        <v>0</v>
      </c>
      <c r="U3" s="6">
        <v>0</v>
      </c>
      <c r="CC3" t="s">
        <v>94</v>
      </c>
    </row>
    <row r="4" spans="1:81">
      <c r="A4" s="4" t="s">
        <v>36</v>
      </c>
      <c r="B4" s="4" t="s">
        <v>38</v>
      </c>
      <c r="C4" s="4" t="s">
        <v>29</v>
      </c>
      <c r="D4" s="4" t="s">
        <v>89</v>
      </c>
      <c r="E4" s="4" t="s">
        <v>83</v>
      </c>
      <c r="F4" s="4" t="s">
        <v>84</v>
      </c>
      <c r="G4" s="4">
        <v>0</v>
      </c>
      <c r="H4" s="6">
        <v>12865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CC4" t="s">
        <v>95</v>
      </c>
    </row>
    <row r="5" spans="1:81">
      <c r="A5" s="4" t="s">
        <v>36</v>
      </c>
      <c r="B5" s="4" t="s">
        <v>38</v>
      </c>
      <c r="C5" s="4" t="s">
        <v>29</v>
      </c>
      <c r="D5" s="4" t="s">
        <v>89</v>
      </c>
      <c r="E5" s="4" t="s">
        <v>83</v>
      </c>
      <c r="F5" s="4" t="s">
        <v>84</v>
      </c>
      <c r="G5" s="4">
        <v>5</v>
      </c>
      <c r="H5" s="6">
        <v>0</v>
      </c>
      <c r="I5" s="6">
        <v>9304.7800000000007</v>
      </c>
      <c r="J5" s="6">
        <v>232.62</v>
      </c>
      <c r="K5" s="6">
        <v>232.62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CC5" t="s">
        <v>95</v>
      </c>
    </row>
    <row r="6" spans="1:81">
      <c r="A6" s="4" t="s">
        <v>36</v>
      </c>
      <c r="B6" s="4" t="s">
        <v>38</v>
      </c>
      <c r="C6" s="4" t="s">
        <v>29</v>
      </c>
      <c r="D6" s="4" t="s">
        <v>89</v>
      </c>
      <c r="E6" s="4" t="s">
        <v>83</v>
      </c>
      <c r="F6" s="4" t="s">
        <v>84</v>
      </c>
      <c r="G6" s="4">
        <v>12</v>
      </c>
      <c r="H6" s="6">
        <v>0</v>
      </c>
      <c r="I6" s="6">
        <v>0</v>
      </c>
      <c r="J6" s="6">
        <v>0</v>
      </c>
      <c r="K6" s="6">
        <v>0</v>
      </c>
      <c r="L6" s="6">
        <v>4049.08</v>
      </c>
      <c r="M6" s="6">
        <v>242.94</v>
      </c>
      <c r="N6" s="6">
        <v>242.94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CC6" t="s">
        <v>95</v>
      </c>
    </row>
    <row r="7" spans="1:81">
      <c r="A7" s="4" t="s">
        <v>36</v>
      </c>
      <c r="B7" s="4" t="s">
        <v>38</v>
      </c>
      <c r="C7" s="4" t="s">
        <v>29</v>
      </c>
      <c r="D7" s="4" t="s">
        <v>89</v>
      </c>
      <c r="E7" s="4" t="s">
        <v>83</v>
      </c>
      <c r="F7" s="4" t="s">
        <v>84</v>
      </c>
      <c r="G7" s="4">
        <v>18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576.24</v>
      </c>
      <c r="P7" s="6">
        <v>51.86</v>
      </c>
      <c r="Q7" s="6">
        <v>51.86</v>
      </c>
      <c r="R7" s="6">
        <v>0</v>
      </c>
      <c r="S7" s="6">
        <v>0</v>
      </c>
      <c r="T7" s="6">
        <v>0</v>
      </c>
      <c r="U7" s="6">
        <v>0</v>
      </c>
      <c r="CC7" t="s">
        <v>96</v>
      </c>
    </row>
    <row r="8" spans="1:81">
      <c r="A8" s="4" t="s">
        <v>0</v>
      </c>
      <c r="B8" s="4" t="s">
        <v>4</v>
      </c>
      <c r="C8" s="4" t="s">
        <v>5</v>
      </c>
      <c r="D8" s="4" t="s">
        <v>85</v>
      </c>
      <c r="E8" s="4" t="s">
        <v>83</v>
      </c>
      <c r="F8" s="4" t="s">
        <v>84</v>
      </c>
      <c r="G8" s="4">
        <v>12</v>
      </c>
      <c r="H8" s="6">
        <v>0</v>
      </c>
      <c r="I8" s="6">
        <v>0</v>
      </c>
      <c r="J8" s="6">
        <v>0</v>
      </c>
      <c r="K8" s="6">
        <v>0</v>
      </c>
      <c r="L8" s="6">
        <v>733.28</v>
      </c>
      <c r="M8" s="6">
        <v>44</v>
      </c>
      <c r="N8" s="6">
        <v>44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CC8" t="s">
        <v>95</v>
      </c>
    </row>
    <row r="9" spans="1:81">
      <c r="A9" s="4" t="s">
        <v>0</v>
      </c>
      <c r="B9" s="4" t="s">
        <v>4</v>
      </c>
      <c r="C9" s="4" t="s">
        <v>5</v>
      </c>
      <c r="D9" s="4" t="s">
        <v>85</v>
      </c>
      <c r="E9" s="4" t="s">
        <v>83</v>
      </c>
      <c r="F9" s="4" t="s">
        <v>84</v>
      </c>
      <c r="G9" s="4">
        <v>18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38.979999999999997</v>
      </c>
      <c r="P9" s="6">
        <v>3.51</v>
      </c>
      <c r="Q9" s="6">
        <v>3.51</v>
      </c>
      <c r="R9" s="6">
        <v>0</v>
      </c>
      <c r="S9" s="6">
        <v>0</v>
      </c>
      <c r="T9" s="6">
        <v>0</v>
      </c>
      <c r="U9" s="6">
        <v>0</v>
      </c>
      <c r="CC9" t="s">
        <v>95</v>
      </c>
    </row>
    <row r="10" spans="1:81">
      <c r="A10" s="4" t="s">
        <v>0</v>
      </c>
      <c r="B10" s="4" t="s">
        <v>4</v>
      </c>
      <c r="C10" s="4" t="s">
        <v>5</v>
      </c>
      <c r="D10" s="4" t="s">
        <v>85</v>
      </c>
      <c r="E10" s="4" t="s">
        <v>83</v>
      </c>
      <c r="F10" s="4" t="s">
        <v>84</v>
      </c>
      <c r="G10" s="4">
        <v>28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12050.97</v>
      </c>
      <c r="S10" s="6">
        <v>1687.14</v>
      </c>
      <c r="T10" s="6">
        <v>1687.14</v>
      </c>
      <c r="U10" s="6">
        <v>1446.14</v>
      </c>
      <c r="CC10" t="s">
        <v>97</v>
      </c>
    </row>
    <row r="11" spans="1:81">
      <c r="A11" s="4" t="s">
        <v>43</v>
      </c>
      <c r="B11" s="4" t="s">
        <v>45</v>
      </c>
      <c r="C11" s="4" t="s">
        <v>46</v>
      </c>
      <c r="D11" s="4" t="s">
        <v>90</v>
      </c>
      <c r="E11" s="4" t="s">
        <v>83</v>
      </c>
      <c r="F11" s="4" t="s">
        <v>84</v>
      </c>
      <c r="G11" s="4">
        <v>18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4</v>
      </c>
      <c r="P11" s="6">
        <v>0.36</v>
      </c>
      <c r="Q11" s="6">
        <v>0.36</v>
      </c>
      <c r="R11" s="6">
        <v>0</v>
      </c>
      <c r="S11" s="6">
        <v>0</v>
      </c>
      <c r="T11" s="6">
        <v>0</v>
      </c>
      <c r="U11" s="6">
        <v>0</v>
      </c>
      <c r="CC11" t="s">
        <v>98</v>
      </c>
    </row>
    <row r="12" spans="1:81">
      <c r="A12" s="4" t="s">
        <v>43</v>
      </c>
      <c r="B12" s="4" t="s">
        <v>50</v>
      </c>
      <c r="C12" s="4" t="s">
        <v>46</v>
      </c>
      <c r="D12" s="4" t="s">
        <v>90</v>
      </c>
      <c r="E12" s="4" t="s">
        <v>83</v>
      </c>
      <c r="F12" s="4" t="s">
        <v>84</v>
      </c>
      <c r="G12" s="4">
        <v>12</v>
      </c>
      <c r="H12" s="6">
        <v>0</v>
      </c>
      <c r="I12" s="6">
        <v>0</v>
      </c>
      <c r="J12" s="6">
        <v>0</v>
      </c>
      <c r="K12" s="6">
        <v>0</v>
      </c>
      <c r="L12" s="6">
        <v>3415.71</v>
      </c>
      <c r="M12" s="6">
        <v>204.95</v>
      </c>
      <c r="N12" s="6">
        <v>204.95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CC12" t="s">
        <v>95</v>
      </c>
    </row>
    <row r="13" spans="1:81">
      <c r="A13" s="4" t="s">
        <v>43</v>
      </c>
      <c r="B13" s="4" t="s">
        <v>50</v>
      </c>
      <c r="C13" s="4" t="s">
        <v>46</v>
      </c>
      <c r="D13" s="4" t="s">
        <v>90</v>
      </c>
      <c r="E13" s="4" t="s">
        <v>83</v>
      </c>
      <c r="F13" s="4" t="s">
        <v>84</v>
      </c>
      <c r="G13" s="4">
        <v>5</v>
      </c>
      <c r="H13" s="6">
        <v>0</v>
      </c>
      <c r="I13" s="6">
        <v>3475.32</v>
      </c>
      <c r="J13" s="6">
        <v>86.89</v>
      </c>
      <c r="K13" s="6">
        <v>86.89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CC13" t="s">
        <v>95</v>
      </c>
    </row>
    <row r="14" spans="1:81">
      <c r="A14" s="4" t="s">
        <v>43</v>
      </c>
      <c r="B14" s="4" t="s">
        <v>50</v>
      </c>
      <c r="C14" s="4" t="s">
        <v>46</v>
      </c>
      <c r="D14" s="4" t="s">
        <v>90</v>
      </c>
      <c r="E14" s="4" t="s">
        <v>83</v>
      </c>
      <c r="F14" s="4" t="s">
        <v>84</v>
      </c>
      <c r="G14" s="4">
        <v>18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2744.22</v>
      </c>
      <c r="P14" s="6">
        <v>246.98</v>
      </c>
      <c r="Q14" s="6">
        <v>246.98</v>
      </c>
      <c r="R14" s="6">
        <v>0</v>
      </c>
      <c r="S14" s="6">
        <v>0</v>
      </c>
      <c r="T14" s="6">
        <v>0</v>
      </c>
      <c r="U14" s="6">
        <v>0</v>
      </c>
      <c r="CC14" t="s">
        <v>99</v>
      </c>
    </row>
    <row r="15" spans="1:81">
      <c r="A15" s="4" t="s">
        <v>0</v>
      </c>
      <c r="B15" s="4" t="s">
        <v>6</v>
      </c>
      <c r="C15" s="4" t="s">
        <v>7</v>
      </c>
      <c r="D15" s="4" t="s">
        <v>85</v>
      </c>
      <c r="E15" s="4" t="s">
        <v>83</v>
      </c>
      <c r="F15" s="4" t="s">
        <v>84</v>
      </c>
      <c r="G15" s="4">
        <v>18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3.39</v>
      </c>
      <c r="P15" s="6">
        <v>0.31</v>
      </c>
      <c r="Q15" s="6">
        <v>0.31</v>
      </c>
      <c r="R15" s="6">
        <v>0</v>
      </c>
      <c r="S15" s="6">
        <v>0</v>
      </c>
      <c r="T15" s="6">
        <v>0</v>
      </c>
      <c r="U15" s="6">
        <v>0</v>
      </c>
      <c r="CC15" t="s">
        <v>95</v>
      </c>
    </row>
    <row r="16" spans="1:81">
      <c r="A16" s="4" t="s">
        <v>0</v>
      </c>
      <c r="B16" s="4" t="s">
        <v>6</v>
      </c>
      <c r="C16" s="4" t="s">
        <v>7</v>
      </c>
      <c r="D16" s="4" t="s">
        <v>85</v>
      </c>
      <c r="E16" s="4" t="s">
        <v>83</v>
      </c>
      <c r="F16" s="4" t="s">
        <v>84</v>
      </c>
      <c r="G16" s="4">
        <v>28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3292.85</v>
      </c>
      <c r="S16" s="6">
        <v>461</v>
      </c>
      <c r="T16" s="6">
        <v>461</v>
      </c>
      <c r="U16" s="6">
        <v>395.14</v>
      </c>
      <c r="CC16" t="s">
        <v>100</v>
      </c>
    </row>
    <row r="17" spans="1:81">
      <c r="A17" s="4" t="s">
        <v>53</v>
      </c>
      <c r="B17" s="4" t="s">
        <v>55</v>
      </c>
      <c r="C17" s="4" t="s">
        <v>7</v>
      </c>
      <c r="D17" s="4" t="s">
        <v>91</v>
      </c>
      <c r="E17" s="4" t="s">
        <v>83</v>
      </c>
      <c r="F17" s="4" t="s">
        <v>84</v>
      </c>
      <c r="G17" s="4">
        <v>5</v>
      </c>
      <c r="H17" s="6">
        <v>0</v>
      </c>
      <c r="I17" s="6">
        <v>40095.199999999997</v>
      </c>
      <c r="J17" s="6">
        <v>1002.38</v>
      </c>
      <c r="K17" s="6">
        <v>1002.38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CC17" t="s">
        <v>101</v>
      </c>
    </row>
    <row r="18" spans="1:81">
      <c r="A18" s="4" t="s">
        <v>26</v>
      </c>
      <c r="B18" s="4" t="s">
        <v>30</v>
      </c>
      <c r="C18" s="4" t="s">
        <v>31</v>
      </c>
      <c r="D18" s="4" t="s">
        <v>87</v>
      </c>
      <c r="E18" s="4" t="s">
        <v>83</v>
      </c>
      <c r="F18" s="4" t="s">
        <v>84</v>
      </c>
      <c r="G18" s="4">
        <v>18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1031.5999999999999</v>
      </c>
      <c r="P18" s="6">
        <v>92.84</v>
      </c>
      <c r="Q18" s="6">
        <v>92.84</v>
      </c>
      <c r="R18" s="6">
        <v>0</v>
      </c>
      <c r="S18" s="6">
        <v>0</v>
      </c>
      <c r="T18" s="6">
        <v>0</v>
      </c>
      <c r="U18" s="6">
        <v>0</v>
      </c>
      <c r="CC18" t="s">
        <v>102</v>
      </c>
    </row>
    <row r="19" spans="1:81">
      <c r="A19" s="4" t="s">
        <v>36</v>
      </c>
      <c r="B19" s="4" t="s">
        <v>39</v>
      </c>
      <c r="C19" s="4" t="s">
        <v>31</v>
      </c>
      <c r="D19" s="4" t="s">
        <v>89</v>
      </c>
      <c r="E19" s="4" t="s">
        <v>83</v>
      </c>
      <c r="F19" s="4" t="s">
        <v>84</v>
      </c>
      <c r="G19" s="4">
        <v>0</v>
      </c>
      <c r="H19" s="6">
        <v>13085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CC19" t="s">
        <v>95</v>
      </c>
    </row>
    <row r="20" spans="1:81">
      <c r="A20" s="4" t="s">
        <v>36</v>
      </c>
      <c r="B20" s="4" t="s">
        <v>39</v>
      </c>
      <c r="C20" s="4" t="s">
        <v>31</v>
      </c>
      <c r="D20" s="4" t="s">
        <v>89</v>
      </c>
      <c r="E20" s="4" t="s">
        <v>83</v>
      </c>
      <c r="F20" s="4" t="s">
        <v>84</v>
      </c>
      <c r="G20" s="4">
        <v>5</v>
      </c>
      <c r="H20" s="6">
        <v>0</v>
      </c>
      <c r="I20" s="6">
        <v>8352.41</v>
      </c>
      <c r="J20" s="6">
        <v>208.81</v>
      </c>
      <c r="K20" s="6">
        <v>208.81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CC20" t="s">
        <v>95</v>
      </c>
    </row>
    <row r="21" spans="1:81">
      <c r="A21" s="4" t="s">
        <v>36</v>
      </c>
      <c r="B21" s="4" t="s">
        <v>39</v>
      </c>
      <c r="C21" s="4" t="s">
        <v>31</v>
      </c>
      <c r="D21" s="4" t="s">
        <v>89</v>
      </c>
      <c r="E21" s="4" t="s">
        <v>83</v>
      </c>
      <c r="F21" s="4" t="s">
        <v>84</v>
      </c>
      <c r="G21" s="4">
        <v>12</v>
      </c>
      <c r="H21" s="6">
        <v>0</v>
      </c>
      <c r="I21" s="6">
        <v>0</v>
      </c>
      <c r="J21" s="6">
        <v>0</v>
      </c>
      <c r="K21" s="6">
        <v>0</v>
      </c>
      <c r="L21" s="6">
        <v>4549.0600000000004</v>
      </c>
      <c r="M21" s="6">
        <v>272.94</v>
      </c>
      <c r="N21" s="6">
        <v>272.94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CC21" t="s">
        <v>95</v>
      </c>
    </row>
    <row r="22" spans="1:81">
      <c r="A22" s="4" t="s">
        <v>36</v>
      </c>
      <c r="B22" s="4" t="s">
        <v>39</v>
      </c>
      <c r="C22" s="4" t="s">
        <v>31</v>
      </c>
      <c r="D22" s="4" t="s">
        <v>89</v>
      </c>
      <c r="E22" s="4" t="s">
        <v>83</v>
      </c>
      <c r="F22" s="4" t="s">
        <v>84</v>
      </c>
      <c r="G22" s="4">
        <v>18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635.58000000000004</v>
      </c>
      <c r="P22" s="6">
        <v>57.2</v>
      </c>
      <c r="Q22" s="6">
        <v>57.2</v>
      </c>
      <c r="R22" s="6">
        <v>0</v>
      </c>
      <c r="S22" s="6">
        <v>0</v>
      </c>
      <c r="T22" s="6">
        <v>0</v>
      </c>
      <c r="U22" s="6">
        <v>0</v>
      </c>
      <c r="CC22" t="s">
        <v>103</v>
      </c>
    </row>
    <row r="23" spans="1:81">
      <c r="A23" s="4" t="s">
        <v>0</v>
      </c>
      <c r="B23" s="4" t="s">
        <v>8</v>
      </c>
      <c r="C23" s="4" t="s">
        <v>9</v>
      </c>
      <c r="D23" s="4" t="s">
        <v>85</v>
      </c>
      <c r="E23" s="4" t="s">
        <v>83</v>
      </c>
      <c r="F23" s="4" t="s">
        <v>84</v>
      </c>
      <c r="G23" s="4">
        <v>18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25.43</v>
      </c>
      <c r="P23" s="6">
        <v>2.29</v>
      </c>
      <c r="Q23" s="6">
        <v>2.29</v>
      </c>
      <c r="R23" s="6">
        <v>0</v>
      </c>
      <c r="S23" s="6">
        <v>0</v>
      </c>
      <c r="T23" s="6">
        <v>0</v>
      </c>
      <c r="U23" s="6">
        <v>0</v>
      </c>
      <c r="CC23" t="s">
        <v>95</v>
      </c>
    </row>
    <row r="24" spans="1:81">
      <c r="A24" s="4" t="s">
        <v>0</v>
      </c>
      <c r="B24" s="4" t="s">
        <v>8</v>
      </c>
      <c r="C24" s="4" t="s">
        <v>9</v>
      </c>
      <c r="D24" s="4" t="s">
        <v>85</v>
      </c>
      <c r="E24" s="4" t="s">
        <v>83</v>
      </c>
      <c r="F24" s="4" t="s">
        <v>84</v>
      </c>
      <c r="G24" s="4">
        <v>28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11339.51</v>
      </c>
      <c r="S24" s="6">
        <v>1587.53</v>
      </c>
      <c r="T24" s="6">
        <v>1587.53</v>
      </c>
      <c r="U24" s="6">
        <v>1360.76</v>
      </c>
      <c r="CC24" t="s">
        <v>104</v>
      </c>
    </row>
    <row r="25" spans="1:81">
      <c r="A25" s="4" t="s">
        <v>0</v>
      </c>
      <c r="B25" s="4" t="s">
        <v>10</v>
      </c>
      <c r="C25" s="4" t="s">
        <v>11</v>
      </c>
      <c r="D25" s="4" t="s">
        <v>85</v>
      </c>
      <c r="E25" s="4" t="s">
        <v>83</v>
      </c>
      <c r="F25" s="4" t="s">
        <v>84</v>
      </c>
      <c r="G25" s="4">
        <v>18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5.93</v>
      </c>
      <c r="P25" s="6">
        <v>0.53</v>
      </c>
      <c r="Q25" s="6">
        <v>0.53</v>
      </c>
      <c r="R25" s="6">
        <v>0</v>
      </c>
      <c r="S25" s="6">
        <v>0</v>
      </c>
      <c r="T25" s="6">
        <v>0</v>
      </c>
      <c r="U25" s="6">
        <v>0</v>
      </c>
      <c r="CC25" t="s">
        <v>95</v>
      </c>
    </row>
    <row r="26" spans="1:81">
      <c r="A26" s="4" t="s">
        <v>0</v>
      </c>
      <c r="B26" s="4" t="s">
        <v>10</v>
      </c>
      <c r="C26" s="4" t="s">
        <v>11</v>
      </c>
      <c r="D26" s="4" t="s">
        <v>85</v>
      </c>
      <c r="E26" s="4" t="s">
        <v>83</v>
      </c>
      <c r="F26" s="4" t="s">
        <v>84</v>
      </c>
      <c r="G26" s="4">
        <v>28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3840.15</v>
      </c>
      <c r="S26" s="6">
        <v>537.62</v>
      </c>
      <c r="T26" s="6">
        <v>537.62</v>
      </c>
      <c r="U26" s="6">
        <v>460.82</v>
      </c>
      <c r="CC26" t="s">
        <v>105</v>
      </c>
    </row>
    <row r="27" spans="1:81">
      <c r="A27" s="4" t="s">
        <v>22</v>
      </c>
      <c r="B27" s="4" t="s">
        <v>24</v>
      </c>
      <c r="C27" s="4" t="s">
        <v>25</v>
      </c>
      <c r="D27" s="4" t="s">
        <v>86</v>
      </c>
      <c r="E27" s="4" t="s">
        <v>83</v>
      </c>
      <c r="F27" s="4" t="s">
        <v>84</v>
      </c>
      <c r="G27" s="4">
        <v>5</v>
      </c>
      <c r="H27" s="6">
        <v>0</v>
      </c>
      <c r="I27" s="6">
        <v>38857.199999999997</v>
      </c>
      <c r="J27" s="6">
        <v>971.43</v>
      </c>
      <c r="K27" s="6">
        <v>971.43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CC27" t="s">
        <v>106</v>
      </c>
    </row>
    <row r="28" spans="1:81">
      <c r="A28" s="4" t="s">
        <v>26</v>
      </c>
      <c r="B28" s="4" t="s">
        <v>32</v>
      </c>
      <c r="C28" s="4" t="s">
        <v>25</v>
      </c>
      <c r="D28" s="4" t="s">
        <v>87</v>
      </c>
      <c r="E28" s="4" t="s">
        <v>83</v>
      </c>
      <c r="F28" s="4" t="s">
        <v>84</v>
      </c>
      <c r="G28" s="4">
        <v>18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1499.11</v>
      </c>
      <c r="P28" s="6">
        <v>134.91999999999999</v>
      </c>
      <c r="Q28" s="6">
        <v>134.91999999999999</v>
      </c>
      <c r="R28" s="6">
        <v>0</v>
      </c>
      <c r="S28" s="6">
        <v>0</v>
      </c>
      <c r="T28" s="6">
        <v>0</v>
      </c>
      <c r="U28" s="6">
        <v>0</v>
      </c>
      <c r="CC28" t="s">
        <v>107</v>
      </c>
    </row>
    <row r="29" spans="1:81">
      <c r="A29" s="4" t="s">
        <v>36</v>
      </c>
      <c r="B29" s="4" t="s">
        <v>40</v>
      </c>
      <c r="C29" s="4" t="s">
        <v>25</v>
      </c>
      <c r="D29" s="4" t="s">
        <v>89</v>
      </c>
      <c r="E29" s="4" t="s">
        <v>83</v>
      </c>
      <c r="F29" s="4" t="s">
        <v>84</v>
      </c>
      <c r="G29" s="4">
        <v>0</v>
      </c>
      <c r="H29" s="6">
        <v>10215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CC29" t="s">
        <v>95</v>
      </c>
    </row>
    <row r="30" spans="1:81">
      <c r="A30" s="4" t="s">
        <v>36</v>
      </c>
      <c r="B30" s="4" t="s">
        <v>40</v>
      </c>
      <c r="C30" s="4" t="s">
        <v>25</v>
      </c>
      <c r="D30" s="4" t="s">
        <v>89</v>
      </c>
      <c r="E30" s="4" t="s">
        <v>83</v>
      </c>
      <c r="F30" s="4" t="s">
        <v>84</v>
      </c>
      <c r="G30" s="4">
        <v>5</v>
      </c>
      <c r="H30" s="6">
        <v>0</v>
      </c>
      <c r="I30" s="6">
        <v>6784.76</v>
      </c>
      <c r="J30" s="6">
        <v>169.62</v>
      </c>
      <c r="K30" s="6">
        <v>169.62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CC30" t="s">
        <v>95</v>
      </c>
    </row>
    <row r="31" spans="1:81">
      <c r="A31" s="4" t="s">
        <v>36</v>
      </c>
      <c r="B31" s="4" t="s">
        <v>40</v>
      </c>
      <c r="C31" s="4" t="s">
        <v>25</v>
      </c>
      <c r="D31" s="4" t="s">
        <v>89</v>
      </c>
      <c r="E31" s="4" t="s">
        <v>83</v>
      </c>
      <c r="F31" s="4" t="s">
        <v>84</v>
      </c>
      <c r="G31" s="4">
        <v>12</v>
      </c>
      <c r="H31" s="6">
        <v>0</v>
      </c>
      <c r="I31" s="6">
        <v>0</v>
      </c>
      <c r="J31" s="6">
        <v>0</v>
      </c>
      <c r="K31" s="6">
        <v>0</v>
      </c>
      <c r="L31" s="6">
        <v>3156.21</v>
      </c>
      <c r="M31" s="6">
        <v>189.37</v>
      </c>
      <c r="N31" s="6">
        <v>189.37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CC31" t="s">
        <v>95</v>
      </c>
    </row>
    <row r="32" spans="1:81">
      <c r="A32" s="4" t="s">
        <v>36</v>
      </c>
      <c r="B32" s="4" t="s">
        <v>40</v>
      </c>
      <c r="C32" s="4" t="s">
        <v>25</v>
      </c>
      <c r="D32" s="4" t="s">
        <v>89</v>
      </c>
      <c r="E32" s="4" t="s">
        <v>83</v>
      </c>
      <c r="F32" s="4" t="s">
        <v>84</v>
      </c>
      <c r="G32" s="4">
        <v>18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569.88</v>
      </c>
      <c r="P32" s="6">
        <v>51.29</v>
      </c>
      <c r="Q32" s="6">
        <v>51.29</v>
      </c>
      <c r="R32" s="6">
        <v>0</v>
      </c>
      <c r="S32" s="6">
        <v>0</v>
      </c>
      <c r="T32" s="6">
        <v>0</v>
      </c>
      <c r="U32" s="6">
        <v>0</v>
      </c>
      <c r="CC32" t="s">
        <v>108</v>
      </c>
    </row>
    <row r="33" spans="1:81">
      <c r="A33" s="4" t="s">
        <v>0</v>
      </c>
      <c r="B33" s="4" t="s">
        <v>12</v>
      </c>
      <c r="C33" s="4" t="s">
        <v>13</v>
      </c>
      <c r="D33" s="4" t="s">
        <v>85</v>
      </c>
      <c r="E33" s="4" t="s">
        <v>83</v>
      </c>
      <c r="F33" s="4" t="s">
        <v>84</v>
      </c>
      <c r="G33" s="4">
        <v>12</v>
      </c>
      <c r="H33" s="6">
        <v>0</v>
      </c>
      <c r="I33" s="6">
        <v>0</v>
      </c>
      <c r="J33" s="6">
        <v>0</v>
      </c>
      <c r="K33" s="6">
        <v>0</v>
      </c>
      <c r="L33" s="6">
        <v>1426.04</v>
      </c>
      <c r="M33" s="6">
        <v>85.56</v>
      </c>
      <c r="N33" s="6">
        <v>85.56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CC33" t="s">
        <v>95</v>
      </c>
    </row>
    <row r="34" spans="1:81">
      <c r="A34" s="4" t="s">
        <v>0</v>
      </c>
      <c r="B34" s="4" t="s">
        <v>12</v>
      </c>
      <c r="C34" s="4" t="s">
        <v>13</v>
      </c>
      <c r="D34" s="4" t="s">
        <v>85</v>
      </c>
      <c r="E34" s="4" t="s">
        <v>83</v>
      </c>
      <c r="F34" s="4" t="s">
        <v>84</v>
      </c>
      <c r="G34" s="4">
        <v>18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13.56</v>
      </c>
      <c r="P34" s="6">
        <v>1.22</v>
      </c>
      <c r="Q34" s="6">
        <v>1.22</v>
      </c>
      <c r="R34" s="6">
        <v>0</v>
      </c>
      <c r="S34" s="6">
        <v>0</v>
      </c>
      <c r="T34" s="6">
        <v>0</v>
      </c>
      <c r="U34" s="6">
        <v>0</v>
      </c>
      <c r="CC34" t="s">
        <v>95</v>
      </c>
    </row>
    <row r="35" spans="1:81">
      <c r="A35" s="4" t="s">
        <v>0</v>
      </c>
      <c r="B35" s="4" t="s">
        <v>12</v>
      </c>
      <c r="C35" s="4" t="s">
        <v>13</v>
      </c>
      <c r="D35" s="4" t="s">
        <v>85</v>
      </c>
      <c r="E35" s="4" t="s">
        <v>83</v>
      </c>
      <c r="F35" s="4" t="s">
        <v>84</v>
      </c>
      <c r="G35" s="4">
        <v>28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11735.87</v>
      </c>
      <c r="S35" s="6">
        <v>1643.02</v>
      </c>
      <c r="T35" s="6">
        <v>1643.02</v>
      </c>
      <c r="U35" s="6">
        <v>1408.31</v>
      </c>
      <c r="CC35" t="s">
        <v>109</v>
      </c>
    </row>
    <row r="36" spans="1:81">
      <c r="A36" s="4" t="s">
        <v>43</v>
      </c>
      <c r="B36" s="4" t="s">
        <v>47</v>
      </c>
      <c r="C36" s="4" t="s">
        <v>13</v>
      </c>
      <c r="D36" s="4" t="s">
        <v>90</v>
      </c>
      <c r="E36" s="4" t="s">
        <v>83</v>
      </c>
      <c r="F36" s="4" t="s">
        <v>84</v>
      </c>
      <c r="G36" s="4">
        <v>18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4</v>
      </c>
      <c r="P36" s="6">
        <v>0.36</v>
      </c>
      <c r="Q36" s="6">
        <v>0.36</v>
      </c>
      <c r="R36" s="6">
        <v>0</v>
      </c>
      <c r="S36" s="6">
        <v>0</v>
      </c>
      <c r="T36" s="6">
        <v>0</v>
      </c>
      <c r="U36" s="6">
        <v>0</v>
      </c>
      <c r="CC36" t="s">
        <v>110</v>
      </c>
    </row>
    <row r="37" spans="1:81">
      <c r="A37" s="4" t="s">
        <v>43</v>
      </c>
      <c r="B37" s="4" t="s">
        <v>51</v>
      </c>
      <c r="C37" s="4" t="s">
        <v>13</v>
      </c>
      <c r="D37" s="4" t="s">
        <v>90</v>
      </c>
      <c r="E37" s="4" t="s">
        <v>83</v>
      </c>
      <c r="F37" s="4" t="s">
        <v>84</v>
      </c>
      <c r="G37" s="4">
        <v>5</v>
      </c>
      <c r="H37" s="6">
        <v>0</v>
      </c>
      <c r="I37" s="6">
        <v>3283.58</v>
      </c>
      <c r="J37" s="6">
        <v>82.09</v>
      </c>
      <c r="K37" s="6">
        <v>82.09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CC37" t="s">
        <v>95</v>
      </c>
    </row>
    <row r="38" spans="1:81">
      <c r="A38" s="4" t="s">
        <v>43</v>
      </c>
      <c r="B38" s="4" t="s">
        <v>51</v>
      </c>
      <c r="C38" s="4" t="s">
        <v>13</v>
      </c>
      <c r="D38" s="4" t="s">
        <v>90</v>
      </c>
      <c r="E38" s="4" t="s">
        <v>83</v>
      </c>
      <c r="F38" s="4" t="s">
        <v>84</v>
      </c>
      <c r="G38" s="4">
        <v>12</v>
      </c>
      <c r="H38" s="6">
        <v>0</v>
      </c>
      <c r="I38" s="6">
        <v>0</v>
      </c>
      <c r="J38" s="6">
        <v>0</v>
      </c>
      <c r="K38" s="6">
        <v>0</v>
      </c>
      <c r="L38" s="6">
        <v>2434.46</v>
      </c>
      <c r="M38" s="6">
        <v>146.07</v>
      </c>
      <c r="N38" s="6">
        <v>146.07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CC38" t="s">
        <v>111</v>
      </c>
    </row>
    <row r="39" spans="1:81">
      <c r="A39" s="4" t="s">
        <v>0</v>
      </c>
      <c r="B39" s="4" t="s">
        <v>14</v>
      </c>
      <c r="C39" s="4" t="s">
        <v>15</v>
      </c>
      <c r="D39" s="4" t="s">
        <v>85</v>
      </c>
      <c r="E39" s="4" t="s">
        <v>83</v>
      </c>
      <c r="F39" s="4" t="s">
        <v>84</v>
      </c>
      <c r="G39" s="4">
        <v>28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5058.8599999999997</v>
      </c>
      <c r="S39" s="6">
        <v>708.24</v>
      </c>
      <c r="T39" s="6">
        <v>708.24</v>
      </c>
      <c r="U39" s="6">
        <v>607.05999999999995</v>
      </c>
      <c r="CC39" t="s">
        <v>112</v>
      </c>
    </row>
    <row r="40" spans="1:81">
      <c r="A40" s="4" t="s">
        <v>33</v>
      </c>
      <c r="B40" s="4" t="s">
        <v>35</v>
      </c>
      <c r="C40" s="4" t="s">
        <v>15</v>
      </c>
      <c r="D40" s="4" t="s">
        <v>88</v>
      </c>
      <c r="E40" s="4" t="s">
        <v>83</v>
      </c>
      <c r="F40" s="4" t="s">
        <v>84</v>
      </c>
      <c r="G40" s="4">
        <v>18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39500</v>
      </c>
      <c r="P40" s="6">
        <v>3555</v>
      </c>
      <c r="Q40" s="6">
        <v>3555</v>
      </c>
      <c r="R40" s="6">
        <v>0</v>
      </c>
      <c r="S40" s="6">
        <v>0</v>
      </c>
      <c r="T40" s="6">
        <v>0</v>
      </c>
      <c r="U40" s="6">
        <v>0</v>
      </c>
      <c r="CC40" t="s">
        <v>113</v>
      </c>
    </row>
    <row r="41" spans="1:81">
      <c r="A41" s="4" t="s">
        <v>36</v>
      </c>
      <c r="B41" s="4" t="s">
        <v>41</v>
      </c>
      <c r="C41" s="4" t="s">
        <v>42</v>
      </c>
      <c r="D41" s="4" t="s">
        <v>89</v>
      </c>
      <c r="E41" s="4" t="s">
        <v>83</v>
      </c>
      <c r="F41" s="4" t="s">
        <v>84</v>
      </c>
      <c r="G41" s="4">
        <v>0</v>
      </c>
      <c r="H41" s="6">
        <v>16950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CC41" t="s">
        <v>95</v>
      </c>
    </row>
    <row r="42" spans="1:81">
      <c r="A42" s="4" t="s">
        <v>36</v>
      </c>
      <c r="B42" s="4" t="s">
        <v>41</v>
      </c>
      <c r="C42" s="4" t="s">
        <v>42</v>
      </c>
      <c r="D42" s="4" t="s">
        <v>89</v>
      </c>
      <c r="E42" s="4" t="s">
        <v>83</v>
      </c>
      <c r="F42" s="4" t="s">
        <v>84</v>
      </c>
      <c r="G42" s="4">
        <v>5</v>
      </c>
      <c r="H42" s="6">
        <v>0</v>
      </c>
      <c r="I42" s="6">
        <v>8928.59</v>
      </c>
      <c r="J42" s="6">
        <v>223.21</v>
      </c>
      <c r="K42" s="6">
        <v>223.21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CC42" t="s">
        <v>95</v>
      </c>
    </row>
    <row r="43" spans="1:81">
      <c r="A43" s="4" t="s">
        <v>36</v>
      </c>
      <c r="B43" s="4" t="s">
        <v>41</v>
      </c>
      <c r="C43" s="4" t="s">
        <v>42</v>
      </c>
      <c r="D43" s="4" t="s">
        <v>89</v>
      </c>
      <c r="E43" s="4" t="s">
        <v>83</v>
      </c>
      <c r="F43" s="4" t="s">
        <v>84</v>
      </c>
      <c r="G43" s="4">
        <v>12</v>
      </c>
      <c r="H43" s="6">
        <v>0</v>
      </c>
      <c r="I43" s="6">
        <v>0</v>
      </c>
      <c r="J43" s="6">
        <v>0</v>
      </c>
      <c r="K43" s="6">
        <v>0</v>
      </c>
      <c r="L43" s="6">
        <v>4754.3999999999996</v>
      </c>
      <c r="M43" s="6">
        <v>285.26</v>
      </c>
      <c r="N43" s="6">
        <v>285.26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CC43" t="s">
        <v>95</v>
      </c>
    </row>
    <row r="44" spans="1:81">
      <c r="A44" s="4" t="s">
        <v>36</v>
      </c>
      <c r="B44" s="4" t="s">
        <v>41</v>
      </c>
      <c r="C44" s="4" t="s">
        <v>42</v>
      </c>
      <c r="D44" s="4" t="s">
        <v>89</v>
      </c>
      <c r="E44" s="4" t="s">
        <v>83</v>
      </c>
      <c r="F44" s="4" t="s">
        <v>84</v>
      </c>
      <c r="G44" s="4">
        <v>18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690.66</v>
      </c>
      <c r="P44" s="6">
        <v>62.16</v>
      </c>
      <c r="Q44" s="6">
        <v>62.16</v>
      </c>
      <c r="R44" s="6">
        <v>0</v>
      </c>
      <c r="S44" s="6">
        <v>0</v>
      </c>
      <c r="T44" s="6">
        <v>0</v>
      </c>
      <c r="U44" s="6">
        <v>0</v>
      </c>
      <c r="CC44" t="s">
        <v>114</v>
      </c>
    </row>
    <row r="45" spans="1:81">
      <c r="A45" s="4" t="s">
        <v>0</v>
      </c>
      <c r="B45" s="4" t="s">
        <v>16</v>
      </c>
      <c r="C45" s="4" t="s">
        <v>17</v>
      </c>
      <c r="D45" s="4" t="s">
        <v>85</v>
      </c>
      <c r="E45" s="4" t="s">
        <v>83</v>
      </c>
      <c r="F45" s="4" t="s">
        <v>84</v>
      </c>
      <c r="G45" s="4">
        <v>18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12.71</v>
      </c>
      <c r="P45" s="6">
        <v>1.1399999999999999</v>
      </c>
      <c r="Q45" s="6">
        <v>1.1399999999999999</v>
      </c>
      <c r="R45" s="6">
        <v>0</v>
      </c>
      <c r="S45" s="6">
        <v>0</v>
      </c>
      <c r="T45" s="6">
        <v>0</v>
      </c>
      <c r="U45" s="6">
        <v>0</v>
      </c>
      <c r="CC45" t="s">
        <v>95</v>
      </c>
    </row>
    <row r="46" spans="1:81">
      <c r="A46" s="4" t="s">
        <v>0</v>
      </c>
      <c r="B46" s="4" t="s">
        <v>16</v>
      </c>
      <c r="C46" s="4" t="s">
        <v>17</v>
      </c>
      <c r="D46" s="4" t="s">
        <v>85</v>
      </c>
      <c r="E46" s="4" t="s">
        <v>83</v>
      </c>
      <c r="F46" s="4" t="s">
        <v>84</v>
      </c>
      <c r="G46" s="4">
        <v>28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5052.5</v>
      </c>
      <c r="S46" s="6">
        <v>707.35</v>
      </c>
      <c r="T46" s="6">
        <v>707.35</v>
      </c>
      <c r="U46" s="6">
        <v>606.29999999999995</v>
      </c>
      <c r="CC46" t="s">
        <v>115</v>
      </c>
    </row>
    <row r="47" spans="1:81">
      <c r="A47" s="4" t="s">
        <v>43</v>
      </c>
      <c r="B47" s="4" t="s">
        <v>48</v>
      </c>
      <c r="C47" s="4" t="s">
        <v>49</v>
      </c>
      <c r="D47" s="4" t="s">
        <v>90</v>
      </c>
      <c r="E47" s="4" t="s">
        <v>83</v>
      </c>
      <c r="F47" s="4" t="s">
        <v>84</v>
      </c>
      <c r="G47" s="4">
        <v>18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</v>
      </c>
      <c r="P47" s="6">
        <v>0.36</v>
      </c>
      <c r="Q47" s="6">
        <v>0.36</v>
      </c>
      <c r="R47" s="6">
        <v>0</v>
      </c>
      <c r="S47" s="6">
        <v>0</v>
      </c>
      <c r="T47" s="6">
        <v>0</v>
      </c>
      <c r="U47" s="6">
        <v>0</v>
      </c>
      <c r="CC47" t="s">
        <v>116</v>
      </c>
    </row>
    <row r="48" spans="1:81">
      <c r="A48" s="4" t="s">
        <v>43</v>
      </c>
      <c r="B48" s="4" t="s">
        <v>52</v>
      </c>
      <c r="C48" s="4" t="s">
        <v>49</v>
      </c>
      <c r="D48" s="4" t="s">
        <v>90</v>
      </c>
      <c r="E48" s="4" t="s">
        <v>83</v>
      </c>
      <c r="F48" s="4" t="s">
        <v>84</v>
      </c>
      <c r="G48" s="4">
        <v>12</v>
      </c>
      <c r="H48" s="6">
        <v>0</v>
      </c>
      <c r="I48" s="6">
        <v>0</v>
      </c>
      <c r="J48" s="6">
        <v>0</v>
      </c>
      <c r="K48" s="6">
        <v>0</v>
      </c>
      <c r="L48" s="6">
        <v>2033.23</v>
      </c>
      <c r="M48" s="6">
        <v>122</v>
      </c>
      <c r="N48" s="6">
        <v>122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CC48" t="s">
        <v>95</v>
      </c>
    </row>
    <row r="49" spans="1:81">
      <c r="A49" s="4" t="s">
        <v>43</v>
      </c>
      <c r="B49" s="4" t="s">
        <v>52</v>
      </c>
      <c r="C49" s="4" t="s">
        <v>49</v>
      </c>
      <c r="D49" s="4" t="s">
        <v>90</v>
      </c>
      <c r="E49" s="4" t="s">
        <v>83</v>
      </c>
      <c r="F49" s="4" t="s">
        <v>84</v>
      </c>
      <c r="G49" s="4">
        <v>5</v>
      </c>
      <c r="H49" s="6">
        <v>0</v>
      </c>
      <c r="I49" s="6">
        <v>3283.58</v>
      </c>
      <c r="J49" s="6">
        <v>82.09</v>
      </c>
      <c r="K49" s="6">
        <v>82.09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CC49" t="s">
        <v>95</v>
      </c>
    </row>
    <row r="50" spans="1:81">
      <c r="A50" s="4" t="s">
        <v>43</v>
      </c>
      <c r="B50" s="4" t="s">
        <v>52</v>
      </c>
      <c r="C50" s="4" t="s">
        <v>49</v>
      </c>
      <c r="D50" s="4" t="s">
        <v>90</v>
      </c>
      <c r="E50" s="4" t="s">
        <v>83</v>
      </c>
      <c r="F50" s="4" t="s">
        <v>84</v>
      </c>
      <c r="G50" s="4">
        <v>18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2349.33</v>
      </c>
      <c r="P50" s="6">
        <v>211.44</v>
      </c>
      <c r="Q50" s="6">
        <v>211.44</v>
      </c>
      <c r="R50" s="6">
        <v>0</v>
      </c>
      <c r="S50" s="6">
        <v>0</v>
      </c>
      <c r="T50" s="6">
        <v>0</v>
      </c>
      <c r="U50" s="6">
        <v>0</v>
      </c>
      <c r="CC50" t="s">
        <v>117</v>
      </c>
    </row>
    <row r="51" spans="1:81">
      <c r="A51" s="4" t="s">
        <v>0</v>
      </c>
      <c r="B51" s="4" t="s">
        <v>18</v>
      </c>
      <c r="C51" s="4" t="s">
        <v>19</v>
      </c>
      <c r="D51" s="4" t="s">
        <v>85</v>
      </c>
      <c r="E51" s="4" t="s">
        <v>83</v>
      </c>
      <c r="F51" s="4" t="s">
        <v>84</v>
      </c>
      <c r="G51" s="4">
        <v>12</v>
      </c>
      <c r="H51" s="6">
        <v>0</v>
      </c>
      <c r="I51" s="6">
        <v>0</v>
      </c>
      <c r="J51" s="6">
        <v>0</v>
      </c>
      <c r="K51" s="6">
        <v>0</v>
      </c>
      <c r="L51" s="6">
        <v>840.76</v>
      </c>
      <c r="M51" s="6">
        <v>50.45</v>
      </c>
      <c r="N51" s="6">
        <v>50.45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CC51" t="s">
        <v>95</v>
      </c>
    </row>
    <row r="52" spans="1:81">
      <c r="A52" s="4" t="s">
        <v>0</v>
      </c>
      <c r="B52" s="4" t="s">
        <v>18</v>
      </c>
      <c r="C52" s="4" t="s">
        <v>19</v>
      </c>
      <c r="D52" s="4" t="s">
        <v>85</v>
      </c>
      <c r="E52" s="4" t="s">
        <v>83</v>
      </c>
      <c r="F52" s="4" t="s">
        <v>84</v>
      </c>
      <c r="G52" s="4">
        <v>18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10.17</v>
      </c>
      <c r="P52" s="6">
        <v>0.92</v>
      </c>
      <c r="Q52" s="6">
        <v>0.92</v>
      </c>
      <c r="R52" s="6">
        <v>0</v>
      </c>
      <c r="S52" s="6">
        <v>0</v>
      </c>
      <c r="T52" s="6">
        <v>0</v>
      </c>
      <c r="U52" s="6">
        <v>0</v>
      </c>
      <c r="CC52" t="s">
        <v>95</v>
      </c>
    </row>
    <row r="53" spans="1:81">
      <c r="A53" s="4" t="s">
        <v>0</v>
      </c>
      <c r="B53" s="4" t="s">
        <v>18</v>
      </c>
      <c r="C53" s="4" t="s">
        <v>19</v>
      </c>
      <c r="D53" s="4" t="s">
        <v>85</v>
      </c>
      <c r="E53" s="4" t="s">
        <v>83</v>
      </c>
      <c r="F53" s="4" t="s">
        <v>84</v>
      </c>
      <c r="G53" s="4">
        <v>28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6998.06</v>
      </c>
      <c r="S53" s="6">
        <v>979.73</v>
      </c>
      <c r="T53" s="6">
        <v>979.73</v>
      </c>
      <c r="U53" s="6">
        <v>839.76</v>
      </c>
      <c r="CC53" t="s">
        <v>118</v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RMHAC6</dc:creator>
  <cp:lastModifiedBy>RMHAC12</cp:lastModifiedBy>
  <dcterms:created xsi:type="dcterms:W3CDTF">2026-02-24T11:34:50Z</dcterms:created>
  <dcterms:modified xsi:type="dcterms:W3CDTF">2026-06-16T10:15:10Z</dcterms:modified>
</cp:coreProperties>
</file>