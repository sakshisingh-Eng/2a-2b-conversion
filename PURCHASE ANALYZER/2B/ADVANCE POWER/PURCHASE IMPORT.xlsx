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DATA SCAN\Vasai Client\ADVANCE POWER (TAUFEEKAHMED DAHU KHAN (1428))\GST TAX\2025-26\8. NOV 25\GSTR 2B\"/>
    </mc:Choice>
  </mc:AlternateContent>
  <bookViews>
    <workbookView xWindow="0" yWindow="0" windowWidth="20490" windowHeight="7455"/>
  </bookViews>
  <sheets>
    <sheet name="IMP" sheetId="1" r:id="rId1"/>
  </sheets>
  <definedNames>
    <definedName name="_xlnm._FilterDatabase" localSheetId="0" hidden="1">IMP!$A$1:$BZ$51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1" i="1" l="1"/>
  <c r="I51" i="1"/>
  <c r="H51" i="1"/>
  <c r="G51" i="1"/>
</calcChain>
</file>

<file path=xl/sharedStrings.xml><?xml version="1.0" encoding="utf-8"?>
<sst xmlns="http://schemas.openxmlformats.org/spreadsheetml/2006/main" count="354" uniqueCount="111">
  <si>
    <t>PURCHASE GST @ 5%</t>
  </si>
  <si>
    <t>Purchase GST @ 18%</t>
  </si>
  <si>
    <t>D/H/25-26/7062</t>
  </si>
  <si>
    <t>D/H/25-26/7357</t>
  </si>
  <si>
    <t>D/H/25-26/7458</t>
  </si>
  <si>
    <t>S02583/25-26</t>
  </si>
  <si>
    <t>RKG25110217</t>
  </si>
  <si>
    <t>RKG25110311</t>
  </si>
  <si>
    <t>RKG25110512</t>
  </si>
  <si>
    <t>RKT25110073</t>
  </si>
  <si>
    <t>RKT25110451</t>
  </si>
  <si>
    <t>1611/OH/2025-26</t>
  </si>
  <si>
    <t>2526270</t>
  </si>
  <si>
    <t>2526-4550</t>
  </si>
  <si>
    <t>25-26/GST604</t>
  </si>
  <si>
    <t>SG-18565</t>
  </si>
  <si>
    <t>GT/184</t>
  </si>
  <si>
    <t>784/2025-26</t>
  </si>
  <si>
    <t>EC/064/2025-26</t>
  </si>
  <si>
    <t>3319</t>
  </si>
  <si>
    <t>SE/13176/25-26</t>
  </si>
  <si>
    <t>SE/13177/25-26</t>
  </si>
  <si>
    <t>SE/14051/25-26</t>
  </si>
  <si>
    <t>SE/14052/25-26</t>
  </si>
  <si>
    <t>SE/14760/25-26</t>
  </si>
  <si>
    <t>SE/14761/25-26</t>
  </si>
  <si>
    <t>GT/37</t>
  </si>
  <si>
    <t>IC/25-26/1776</t>
  </si>
  <si>
    <t>IC/25-26/1832</t>
  </si>
  <si>
    <t>IC/25-26/1874</t>
  </si>
  <si>
    <t>GT/741</t>
  </si>
  <si>
    <t>3463</t>
  </si>
  <si>
    <t>AT/25-26/1963</t>
  </si>
  <si>
    <t>GT/40</t>
  </si>
  <si>
    <t>GT/41</t>
  </si>
  <si>
    <t>GT/42</t>
  </si>
  <si>
    <t>901</t>
  </si>
  <si>
    <t>75</t>
  </si>
  <si>
    <t>3956/BC/25-26</t>
  </si>
  <si>
    <t>GPE/2543/25-26</t>
  </si>
  <si>
    <t>GPE/2544/25-26</t>
  </si>
  <si>
    <t>GPE/2552/25-26</t>
  </si>
  <si>
    <t>GPE/2579/25-26</t>
  </si>
  <si>
    <t>GPE/2640/25-26</t>
  </si>
  <si>
    <t>GPE/2647/25-26</t>
  </si>
  <si>
    <t>GPE/2683/25-26</t>
  </si>
  <si>
    <t>GPE/2684/25-26</t>
  </si>
  <si>
    <t>GPE/2832/25-26</t>
  </si>
  <si>
    <t>GPE/2847/25-26</t>
  </si>
  <si>
    <t>INVH/025763</t>
  </si>
  <si>
    <t>969</t>
  </si>
  <si>
    <t>11/11/2025</t>
  </si>
  <si>
    <t>14/11/2025</t>
  </si>
  <si>
    <t>29/11/2025</t>
  </si>
  <si>
    <t>15/11/2025</t>
  </si>
  <si>
    <t>25/11/2025</t>
  </si>
  <si>
    <t>03/11/2025</t>
  </si>
  <si>
    <t>13/11/2025</t>
  </si>
  <si>
    <t>07/11/2025</t>
  </si>
  <si>
    <t>20/11/2025</t>
  </si>
  <si>
    <t>05/11/2025</t>
  </si>
  <si>
    <t>01/11/2025</t>
  </si>
  <si>
    <t>27/11/2025</t>
  </si>
  <si>
    <t>15/10/2025</t>
  </si>
  <si>
    <t>04/11/2025</t>
  </si>
  <si>
    <t>10/11/2025</t>
  </si>
  <si>
    <t>17/11/2025</t>
  </si>
  <si>
    <t>26/11/2025</t>
  </si>
  <si>
    <t>12/11/2025</t>
  </si>
  <si>
    <t>19/11/2025</t>
  </si>
  <si>
    <t>MIHIR SALES</t>
  </si>
  <si>
    <t>EAGLE TRADELINKS PVT.LTD.</t>
  </si>
  <si>
    <t>MICROGUARD FILTERS CORPORATION</t>
  </si>
  <si>
    <t>SPARK AUTO INDUSTRIES</t>
  </si>
  <si>
    <t>BHAVESH TRACTOR AND EARTH MOVERS</t>
  </si>
  <si>
    <t>VARUDI AUTO PRODUCTS</t>
  </si>
  <si>
    <t>SPS TECHNO CIRCUITS LLP</t>
  </si>
  <si>
    <t>MADHUBAN ENTERPRISES</t>
  </si>
  <si>
    <t>BEING PURCHASE RECORDED</t>
  </si>
  <si>
    <t>Purchase New</t>
  </si>
  <si>
    <t>TAXABLE</t>
  </si>
  <si>
    <t>Darshak Hardware</t>
  </si>
  <si>
    <t>Unique Batteries</t>
  </si>
  <si>
    <t>Power Link Gensets Private Limited'</t>
  </si>
  <si>
    <t>Expert Computers</t>
  </si>
  <si>
    <t>Raj Agencies</t>
  </si>
  <si>
    <t>S B Diesel</t>
  </si>
  <si>
    <t>J.P.Diesel</t>
  </si>
  <si>
    <t>Innovatech Corporation</t>
  </si>
  <si>
    <t>DAVDA SALES AND SERVICES</t>
  </si>
  <si>
    <t>Asrav Tyres</t>
  </si>
  <si>
    <t>Swastik Manufacturer</t>
  </si>
  <si>
    <t>Eco Scrap and Processing</t>
  </si>
  <si>
    <t>NHP POWER SYSTEMS (LLP)</t>
  </si>
  <si>
    <t>Goel Power Engineers Llp</t>
  </si>
  <si>
    <t>Keshav Enterprises</t>
  </si>
  <si>
    <t>Opera Polymers</t>
  </si>
  <si>
    <t>DATE</t>
  </si>
  <si>
    <t>PARTY NAME</t>
  </si>
  <si>
    <t>INV NO</t>
  </si>
  <si>
    <t>NARRATION</t>
  </si>
  <si>
    <t>VOUCHER TYPE</t>
  </si>
  <si>
    <t>LEDGER</t>
  </si>
  <si>
    <t>IGST 5</t>
  </si>
  <si>
    <t>IGST 18</t>
  </si>
  <si>
    <t>CGST 9</t>
  </si>
  <si>
    <t>Error</t>
  </si>
  <si>
    <t xml:space="preserve"> Done!</t>
  </si>
  <si>
    <t xml:space="preserve"> Ledger
'MIHIR SALES'
does not exist!</t>
  </si>
  <si>
    <t xml:space="preserve"> Ledger
'EAGLE TRADELINKS PVT.LTD.'
does not exist!</t>
  </si>
  <si>
    <t xml:space="preserve"> Voucher date is missing for: 'Purchase' voucher 1. 
Verify the data, resolve errors (if any) and retry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</si>
</sst>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m/d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</cellStyleXfs>
  <cellXfs count="14">
    <xf numFmtId="0" fontId="0" fillId="0" borderId="0" xfId="0"/>
    <xf numFmtId="0" fontId="2" fillId="0" borderId="2" xfId="2" applyFont="1" applyFill="1" applyBorder="1" applyAlignment="1">
      <alignment horizontal="left"/>
    </xf>
    <xf numFmtId="165" fontId="2" fillId="0" borderId="2" xfId="2" applyNumberFormat="1" applyFont="1" applyFill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164" fontId="2" fillId="0" borderId="2" xfId="1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164" fontId="0" fillId="0" borderId="0" xfId="1" applyFont="1" applyAlignment="1"/>
    <xf numFmtId="0" fontId="0" fillId="0" borderId="0" xfId="0" applyAlignment="1">
      <alignment wrapText="1"/>
    </xf>
    <xf numFmtId="0" fontId="0" fillId="0" borderId="2" xfId="0" applyBorder="1" applyAlignment="1"/>
    <xf numFmtId="14" fontId="0" fillId="0" borderId="2" xfId="0" applyNumberFormat="1" applyBorder="1" applyAlignment="1"/>
    <xf numFmtId="164" fontId="0" fillId="0" borderId="2" xfId="1" applyFont="1" applyBorder="1" applyAlignment="1"/>
    <xf numFmtId="164" fontId="4" fillId="0" borderId="2" xfId="1" applyFont="1" applyBorder="1" applyAlignment="1">
      <alignment horizontal="right"/>
    </xf>
    <xf numFmtId="164" fontId="3" fillId="0" borderId="0" xfId="1" applyFont="1" applyAlignment="1"/>
  </cellXfs>
  <cellStyles count="3">
    <cellStyle name="Comma" xfId="1" builtinId="3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C51"/>
  <sheetViews>
    <sheetView tabSelected="1" zoomScaleNormal="100" workbookViewId="0">
      <selection activeCell="F2" sqref="F2"/>
    </sheetView>
  </sheetViews>
  <sheetFormatPr defaultColWidth="9.140625" defaultRowHeight="15" x14ac:dyDescent="0.25"/>
  <cols>
    <col min="1" max="1" width="10.42578125" style="6" bestFit="1" customWidth="1"/>
    <col min="2" max="2" width="37.28515625" style="6" bestFit="1" customWidth="1"/>
    <col min="3" max="3" width="16.28515625" style="6" bestFit="1" customWidth="1"/>
    <col min="4" max="4" width="26.5703125" style="6" bestFit="1" customWidth="1"/>
    <col min="5" max="5" width="17.85546875" style="6" bestFit="1" customWidth="1"/>
    <col min="6" max="6" width="17.85546875" style="6" customWidth="1"/>
    <col min="7" max="7" width="17.85546875" style="7" customWidth="1"/>
    <col min="8" max="8" width="22.7109375" style="7" bestFit="1" customWidth="1"/>
    <col min="9" max="9" width="24" style="7" bestFit="1" customWidth="1"/>
    <col min="10" max="10" width="20.7109375" style="7" bestFit="1" customWidth="1"/>
    <col min="11" max="16384" width="9.140625" style="6"/>
  </cols>
  <sheetData>
    <row r="1" spans="1:81" s="5" customFormat="1" x14ac:dyDescent="0.25">
      <c r="A1" s="2" t="s">
        <v>97</v>
      </c>
      <c r="B1" s="3" t="s">
        <v>98</v>
      </c>
      <c r="C1" s="1" t="s">
        <v>99</v>
      </c>
      <c r="D1" s="3" t="s">
        <v>100</v>
      </c>
      <c r="E1" s="3" t="s">
        <v>101</v>
      </c>
      <c r="F1" s="3" t="s">
        <v>102</v>
      </c>
      <c r="G1" s="4" t="s">
        <v>80</v>
      </c>
      <c r="H1" s="4" t="s">
        <v>103</v>
      </c>
      <c r="I1" s="4" t="s">
        <v>104</v>
      </c>
      <c r="J1" s="4" t="s">
        <v>105</v>
      </c>
      <c r="CC1" s="5" t="s">
        <v>106</v>
      </c>
    </row>
    <row r="2" spans="1:81" x14ac:dyDescent="0.25">
      <c r="A2" s="10">
        <v>45964</v>
      </c>
      <c r="B2" s="9" t="s">
        <v>81</v>
      </c>
      <c r="C2" s="9" t="s">
        <v>2</v>
      </c>
      <c r="D2" s="9" t="s">
        <v>78</v>
      </c>
      <c r="E2" s="9" t="s">
        <v>79</v>
      </c>
      <c r="F2" s="9" t="s">
        <v>1</v>
      </c>
      <c r="G2" s="12">
        <v>13223</v>
      </c>
      <c r="H2" s="11">
        <v>0</v>
      </c>
      <c r="I2" s="11">
        <v>0</v>
      </c>
      <c r="J2" s="12">
        <v>1190.07</v>
      </c>
      <c r="BZ2" s="8"/>
      <c r="CC2" s="6" t="s">
        <v>107</v>
      </c>
    </row>
    <row r="3" spans="1:81" x14ac:dyDescent="0.25">
      <c r="A3" s="10" t="s">
        <v>51</v>
      </c>
      <c r="B3" s="9" t="s">
        <v>81</v>
      </c>
      <c r="C3" s="9" t="s">
        <v>3</v>
      </c>
      <c r="D3" s="9" t="s">
        <v>78</v>
      </c>
      <c r="E3" s="9" t="s">
        <v>79</v>
      </c>
      <c r="F3" s="9" t="s">
        <v>1</v>
      </c>
      <c r="G3" s="12">
        <v>10937.5</v>
      </c>
      <c r="H3" s="11">
        <v>0</v>
      </c>
      <c r="I3" s="11">
        <v>0</v>
      </c>
      <c r="J3" s="12">
        <v>984.39</v>
      </c>
      <c r="BZ3" s="8"/>
      <c r="CC3" s="6" t="s">
        <v>107</v>
      </c>
    </row>
    <row r="4" spans="1:81" x14ac:dyDescent="0.25">
      <c r="A4" s="10" t="s">
        <v>52</v>
      </c>
      <c r="B4" s="9" t="s">
        <v>81</v>
      </c>
      <c r="C4" s="9" t="s">
        <v>4</v>
      </c>
      <c r="D4" s="9" t="s">
        <v>78</v>
      </c>
      <c r="E4" s="9" t="s">
        <v>79</v>
      </c>
      <c r="F4" s="9" t="s">
        <v>1</v>
      </c>
      <c r="G4" s="12">
        <v>1530</v>
      </c>
      <c r="H4" s="11">
        <v>0</v>
      </c>
      <c r="I4" s="11">
        <v>0</v>
      </c>
      <c r="J4" s="12">
        <v>137.69999999999999</v>
      </c>
      <c r="BZ4" s="8"/>
      <c r="CC4" s="6" t="s">
        <v>107</v>
      </c>
    </row>
    <row r="5" spans="1:81" ht="75" x14ac:dyDescent="0.25">
      <c r="A5" s="10" t="s">
        <v>53</v>
      </c>
      <c r="B5" s="9" t="s">
        <v>70</v>
      </c>
      <c r="C5" s="9" t="s">
        <v>5</v>
      </c>
      <c r="D5" s="9" t="s">
        <v>78</v>
      </c>
      <c r="E5" s="9" t="s">
        <v>79</v>
      </c>
      <c r="F5" s="9" t="s">
        <v>1</v>
      </c>
      <c r="G5" s="12">
        <v>2396</v>
      </c>
      <c r="H5" s="11">
        <v>0</v>
      </c>
      <c r="I5" s="11">
        <v>0</v>
      </c>
      <c r="J5" s="12">
        <v>215.64</v>
      </c>
      <c r="BZ5" s="8"/>
      <c r="CC5" s="8" t="s">
        <v>108</v>
      </c>
    </row>
    <row r="6" spans="1:81" x14ac:dyDescent="0.25">
      <c r="A6" s="10" t="s">
        <v>51</v>
      </c>
      <c r="B6" s="9" t="s">
        <v>71</v>
      </c>
      <c r="C6" s="9" t="s">
        <v>6</v>
      </c>
      <c r="D6" s="9" t="s">
        <v>78</v>
      </c>
      <c r="E6" s="9" t="s">
        <v>79</v>
      </c>
      <c r="F6" s="9" t="s">
        <v>0</v>
      </c>
      <c r="G6" s="12">
        <v>400</v>
      </c>
      <c r="H6" s="12">
        <v>20</v>
      </c>
      <c r="I6" s="11">
        <v>0</v>
      </c>
      <c r="J6" s="11">
        <v>0</v>
      </c>
      <c r="CC6" s="6" t="s">
        <v>109</v>
      </c>
    </row>
    <row r="7" spans="1:81" x14ac:dyDescent="0.25">
      <c r="A7" s="10" t="s">
        <v>54</v>
      </c>
      <c r="B7" s="9" t="s">
        <v>71</v>
      </c>
      <c r="C7" s="9" t="s">
        <v>7</v>
      </c>
      <c r="D7" s="9" t="s">
        <v>78</v>
      </c>
      <c r="E7" s="9" t="s">
        <v>79</v>
      </c>
      <c r="F7" s="9" t="s">
        <v>0</v>
      </c>
      <c r="G7" s="12">
        <v>300</v>
      </c>
      <c r="H7" s="12">
        <v>15</v>
      </c>
      <c r="I7" s="11">
        <v>0</v>
      </c>
      <c r="J7" s="11">
        <v>0</v>
      </c>
      <c r="CC7" s="6" t="s">
        <v>109</v>
      </c>
    </row>
    <row r="8" spans="1:81" x14ac:dyDescent="0.25">
      <c r="A8" s="10" t="s">
        <v>55</v>
      </c>
      <c r="B8" s="9" t="s">
        <v>71</v>
      </c>
      <c r="C8" s="9" t="s">
        <v>8</v>
      </c>
      <c r="D8" s="9" t="s">
        <v>78</v>
      </c>
      <c r="E8" s="9" t="s">
        <v>79</v>
      </c>
      <c r="F8" s="9" t="s">
        <v>0</v>
      </c>
      <c r="G8" s="12">
        <v>400</v>
      </c>
      <c r="H8" s="12">
        <v>20</v>
      </c>
      <c r="I8" s="11">
        <v>0</v>
      </c>
      <c r="J8" s="11">
        <v>0</v>
      </c>
      <c r="CC8" s="6" t="s">
        <v>109</v>
      </c>
    </row>
    <row r="9" spans="1:81" x14ac:dyDescent="0.25">
      <c r="A9" s="10" t="s">
        <v>56</v>
      </c>
      <c r="B9" s="9" t="s">
        <v>71</v>
      </c>
      <c r="C9" s="9" t="s">
        <v>9</v>
      </c>
      <c r="D9" s="9" t="s">
        <v>78</v>
      </c>
      <c r="E9" s="9" t="s">
        <v>79</v>
      </c>
      <c r="F9" s="9" t="s">
        <v>0</v>
      </c>
      <c r="G9" s="12">
        <v>300</v>
      </c>
      <c r="H9" s="12">
        <v>15</v>
      </c>
      <c r="I9" s="11">
        <v>0</v>
      </c>
      <c r="J9" s="11">
        <v>0</v>
      </c>
      <c r="CC9" s="6" t="s">
        <v>109</v>
      </c>
    </row>
    <row r="10" spans="1:81" x14ac:dyDescent="0.25">
      <c r="A10" s="10" t="s">
        <v>57</v>
      </c>
      <c r="B10" s="9" t="s">
        <v>71</v>
      </c>
      <c r="C10" s="9" t="s">
        <v>10</v>
      </c>
      <c r="D10" s="9" t="s">
        <v>78</v>
      </c>
      <c r="E10" s="9" t="s">
        <v>79</v>
      </c>
      <c r="F10" s="9" t="s">
        <v>0</v>
      </c>
      <c r="G10" s="12">
        <v>650</v>
      </c>
      <c r="H10" s="12">
        <v>32.5</v>
      </c>
      <c r="I10" s="11">
        <v>0</v>
      </c>
      <c r="J10" s="11">
        <v>0</v>
      </c>
      <c r="CC10" s="6" t="s">
        <v>109</v>
      </c>
    </row>
    <row r="11" spans="1:81" x14ac:dyDescent="0.25">
      <c r="A11" s="10" t="s">
        <v>58</v>
      </c>
      <c r="B11" s="9" t="s">
        <v>72</v>
      </c>
      <c r="C11" s="9" t="s">
        <v>11</v>
      </c>
      <c r="D11" s="9" t="s">
        <v>78</v>
      </c>
      <c r="E11" s="9" t="s">
        <v>79</v>
      </c>
      <c r="F11" s="9" t="s">
        <v>1</v>
      </c>
      <c r="G11" s="12">
        <v>7940</v>
      </c>
      <c r="H11" s="11">
        <v>0</v>
      </c>
      <c r="I11" s="11">
        <v>0</v>
      </c>
      <c r="J11" s="12">
        <v>714.6</v>
      </c>
      <c r="BZ11" s="8"/>
      <c r="CC11" s="6" t="s">
        <v>107</v>
      </c>
    </row>
    <row r="12" spans="1:81" x14ac:dyDescent="0.25">
      <c r="A12" s="10" t="s">
        <v>57</v>
      </c>
      <c r="B12" s="9" t="s">
        <v>73</v>
      </c>
      <c r="C12" s="9" t="s">
        <v>12</v>
      </c>
      <c r="D12" s="9" t="s">
        <v>78</v>
      </c>
      <c r="E12" s="9" t="s">
        <v>79</v>
      </c>
      <c r="F12" s="9" t="s">
        <v>1</v>
      </c>
      <c r="G12" s="12">
        <v>13345</v>
      </c>
      <c r="H12" s="11">
        <v>0</v>
      </c>
      <c r="I12" s="12">
        <v>2402.1</v>
      </c>
      <c r="J12" s="11">
        <v>0</v>
      </c>
      <c r="BZ12" s="8"/>
      <c r="CC12" s="6" t="s">
        <v>107</v>
      </c>
    </row>
    <row r="13" spans="1:81" x14ac:dyDescent="0.25">
      <c r="A13" s="10" t="s">
        <v>53</v>
      </c>
      <c r="B13" s="9" t="s">
        <v>82</v>
      </c>
      <c r="C13" s="9" t="s">
        <v>13</v>
      </c>
      <c r="D13" s="9" t="s">
        <v>78</v>
      </c>
      <c r="E13" s="9" t="s">
        <v>79</v>
      </c>
      <c r="F13" s="9" t="s">
        <v>1</v>
      </c>
      <c r="G13" s="12">
        <v>5588.98</v>
      </c>
      <c r="H13" s="11">
        <v>0</v>
      </c>
      <c r="I13" s="11">
        <v>0</v>
      </c>
      <c r="J13" s="12">
        <v>503.01</v>
      </c>
      <c r="BZ13" s="8"/>
      <c r="CC13" s="6" t="s">
        <v>107</v>
      </c>
    </row>
    <row r="14" spans="1:81" x14ac:dyDescent="0.25">
      <c r="A14" s="10" t="s">
        <v>58</v>
      </c>
      <c r="B14" s="9" t="s">
        <v>83</v>
      </c>
      <c r="C14" s="9" t="s">
        <v>14</v>
      </c>
      <c r="D14" s="9" t="s">
        <v>78</v>
      </c>
      <c r="E14" s="9" t="s">
        <v>79</v>
      </c>
      <c r="F14" s="9" t="s">
        <v>1</v>
      </c>
      <c r="G14" s="12">
        <v>27643.22</v>
      </c>
      <c r="H14" s="11">
        <v>0</v>
      </c>
      <c r="I14" s="11">
        <v>0</v>
      </c>
      <c r="J14" s="12">
        <v>2487.89</v>
      </c>
      <c r="BZ14" s="8"/>
      <c r="CC14" s="6" t="s">
        <v>107</v>
      </c>
    </row>
    <row r="15" spans="1:81" x14ac:dyDescent="0.25">
      <c r="A15" s="10" t="s">
        <v>55</v>
      </c>
      <c r="B15" s="9" t="s">
        <v>74</v>
      </c>
      <c r="C15" s="9" t="s">
        <v>15</v>
      </c>
      <c r="D15" s="9" t="s">
        <v>78</v>
      </c>
      <c r="E15" s="9" t="s">
        <v>79</v>
      </c>
      <c r="F15" s="9" t="s">
        <v>1</v>
      </c>
      <c r="G15" s="12">
        <v>20597</v>
      </c>
      <c r="H15" s="11">
        <v>0</v>
      </c>
      <c r="I15" s="11">
        <v>0</v>
      </c>
      <c r="J15" s="12">
        <v>1853.73</v>
      </c>
      <c r="BZ15" s="8"/>
      <c r="CC15" s="6" t="s">
        <v>107</v>
      </c>
    </row>
    <row r="16" spans="1:81" x14ac:dyDescent="0.25">
      <c r="A16" s="10" t="s">
        <v>59</v>
      </c>
      <c r="B16" s="9" t="s">
        <v>75</v>
      </c>
      <c r="C16" s="9" t="s">
        <v>16</v>
      </c>
      <c r="D16" s="9" t="s">
        <v>78</v>
      </c>
      <c r="E16" s="9" t="s">
        <v>79</v>
      </c>
      <c r="F16" s="9" t="s">
        <v>1</v>
      </c>
      <c r="G16" s="12">
        <v>37726</v>
      </c>
      <c r="H16" s="11">
        <v>0</v>
      </c>
      <c r="I16" s="12">
        <v>6790.68</v>
      </c>
      <c r="J16" s="11">
        <v>0</v>
      </c>
      <c r="BZ16" s="8"/>
      <c r="CC16" s="6" t="s">
        <v>107</v>
      </c>
    </row>
    <row r="17" spans="1:81" x14ac:dyDescent="0.25">
      <c r="A17" s="10" t="s">
        <v>60</v>
      </c>
      <c r="B17" s="9" t="s">
        <v>76</v>
      </c>
      <c r="C17" s="9" t="s">
        <v>17</v>
      </c>
      <c r="D17" s="9" t="s">
        <v>78</v>
      </c>
      <c r="E17" s="9" t="s">
        <v>79</v>
      </c>
      <c r="F17" s="9" t="s">
        <v>1</v>
      </c>
      <c r="G17" s="12">
        <v>7650</v>
      </c>
      <c r="H17" s="11">
        <v>0</v>
      </c>
      <c r="I17" s="12">
        <v>1377</v>
      </c>
      <c r="J17" s="11">
        <v>0</v>
      </c>
      <c r="BZ17" s="8"/>
      <c r="CC17" s="6" t="s">
        <v>107</v>
      </c>
    </row>
    <row r="18" spans="1:81" x14ac:dyDescent="0.25">
      <c r="A18" s="10" t="s">
        <v>54</v>
      </c>
      <c r="B18" s="9" t="s">
        <v>84</v>
      </c>
      <c r="C18" s="9" t="s">
        <v>18</v>
      </c>
      <c r="D18" s="9" t="s">
        <v>78</v>
      </c>
      <c r="E18" s="9" t="s">
        <v>79</v>
      </c>
      <c r="F18" s="9" t="s">
        <v>1</v>
      </c>
      <c r="G18" s="12">
        <v>33050.839999999997</v>
      </c>
      <c r="H18" s="11">
        <v>0</v>
      </c>
      <c r="I18" s="11">
        <v>0</v>
      </c>
      <c r="J18" s="12">
        <v>2974.58</v>
      </c>
      <c r="BZ18" s="8"/>
      <c r="CC18" s="6" t="s">
        <v>107</v>
      </c>
    </row>
    <row r="19" spans="1:81" x14ac:dyDescent="0.25">
      <c r="A19" s="10" t="s">
        <v>52</v>
      </c>
      <c r="B19" s="9" t="s">
        <v>85</v>
      </c>
      <c r="C19" s="9" t="s">
        <v>19</v>
      </c>
      <c r="D19" s="9" t="s">
        <v>78</v>
      </c>
      <c r="E19" s="9" t="s">
        <v>79</v>
      </c>
      <c r="F19" s="9" t="s">
        <v>1</v>
      </c>
      <c r="G19" s="12">
        <v>34884</v>
      </c>
      <c r="H19" s="11">
        <v>0</v>
      </c>
      <c r="I19" s="12">
        <v>6279</v>
      </c>
      <c r="J19" s="11">
        <v>0</v>
      </c>
      <c r="BZ19" s="8"/>
      <c r="CC19" s="6" t="s">
        <v>107</v>
      </c>
    </row>
    <row r="20" spans="1:81" x14ac:dyDescent="0.25">
      <c r="A20" s="10" t="s">
        <v>61</v>
      </c>
      <c r="B20" s="9" t="s">
        <v>86</v>
      </c>
      <c r="C20" s="9" t="s">
        <v>20</v>
      </c>
      <c r="D20" s="9" t="s">
        <v>78</v>
      </c>
      <c r="E20" s="9" t="s">
        <v>79</v>
      </c>
      <c r="F20" s="9" t="s">
        <v>1</v>
      </c>
      <c r="G20" s="12">
        <v>18336.650000000001</v>
      </c>
      <c r="H20" s="11">
        <v>0</v>
      </c>
      <c r="I20" s="11">
        <v>0</v>
      </c>
      <c r="J20" s="12">
        <v>1650.3</v>
      </c>
      <c r="BZ20" s="8"/>
      <c r="CC20" s="6" t="s">
        <v>107</v>
      </c>
    </row>
    <row r="21" spans="1:81" x14ac:dyDescent="0.25">
      <c r="A21" s="10" t="s">
        <v>61</v>
      </c>
      <c r="B21" s="9" t="s">
        <v>86</v>
      </c>
      <c r="C21" s="9" t="s">
        <v>21</v>
      </c>
      <c r="D21" s="9" t="s">
        <v>78</v>
      </c>
      <c r="E21" s="9" t="s">
        <v>79</v>
      </c>
      <c r="F21" s="9" t="s">
        <v>1</v>
      </c>
      <c r="G21" s="12">
        <v>20841.38</v>
      </c>
      <c r="H21" s="11">
        <v>0</v>
      </c>
      <c r="I21" s="11">
        <v>0</v>
      </c>
      <c r="J21" s="12">
        <v>1875.73</v>
      </c>
      <c r="BZ21" s="8"/>
      <c r="CC21" s="6" t="s">
        <v>107</v>
      </c>
    </row>
    <row r="22" spans="1:81" x14ac:dyDescent="0.25">
      <c r="A22" s="10" t="s">
        <v>54</v>
      </c>
      <c r="B22" s="9" t="s">
        <v>86</v>
      </c>
      <c r="C22" s="9" t="s">
        <v>22</v>
      </c>
      <c r="D22" s="9" t="s">
        <v>78</v>
      </c>
      <c r="E22" s="9" t="s">
        <v>79</v>
      </c>
      <c r="F22" s="9" t="s">
        <v>1</v>
      </c>
      <c r="G22" s="12">
        <v>10846.21</v>
      </c>
      <c r="H22" s="11">
        <v>0</v>
      </c>
      <c r="I22" s="11">
        <v>0</v>
      </c>
      <c r="J22" s="12">
        <v>976.16</v>
      </c>
      <c r="BZ22" s="8"/>
      <c r="CC22" s="6" t="s">
        <v>107</v>
      </c>
    </row>
    <row r="23" spans="1:81" x14ac:dyDescent="0.25">
      <c r="A23" s="10" t="s">
        <v>54</v>
      </c>
      <c r="B23" s="9" t="s">
        <v>86</v>
      </c>
      <c r="C23" s="9" t="s">
        <v>23</v>
      </c>
      <c r="D23" s="9" t="s">
        <v>78</v>
      </c>
      <c r="E23" s="9" t="s">
        <v>79</v>
      </c>
      <c r="F23" s="9" t="s">
        <v>1</v>
      </c>
      <c r="G23" s="12">
        <v>3626.88</v>
      </c>
      <c r="H23" s="11">
        <v>0</v>
      </c>
      <c r="I23" s="11">
        <v>0</v>
      </c>
      <c r="J23" s="12">
        <v>326.42</v>
      </c>
      <c r="BZ23" s="8"/>
      <c r="CC23" s="6" t="s">
        <v>107</v>
      </c>
    </row>
    <row r="24" spans="1:81" x14ac:dyDescent="0.25">
      <c r="A24" s="10" t="s">
        <v>62</v>
      </c>
      <c r="B24" s="9" t="s">
        <v>86</v>
      </c>
      <c r="C24" s="9" t="s">
        <v>24</v>
      </c>
      <c r="D24" s="9" t="s">
        <v>78</v>
      </c>
      <c r="E24" s="9" t="s">
        <v>79</v>
      </c>
      <c r="F24" s="9" t="s">
        <v>1</v>
      </c>
      <c r="G24" s="12">
        <v>5663.84</v>
      </c>
      <c r="H24" s="11">
        <v>0</v>
      </c>
      <c r="I24" s="11">
        <v>0</v>
      </c>
      <c r="J24" s="12">
        <v>509.75</v>
      </c>
      <c r="BZ24" s="8"/>
      <c r="CC24" s="6" t="s">
        <v>107</v>
      </c>
    </row>
    <row r="25" spans="1:81" x14ac:dyDescent="0.25">
      <c r="A25" s="10" t="s">
        <v>62</v>
      </c>
      <c r="B25" s="9" t="s">
        <v>86</v>
      </c>
      <c r="C25" s="9" t="s">
        <v>25</v>
      </c>
      <c r="D25" s="9" t="s">
        <v>78</v>
      </c>
      <c r="E25" s="9" t="s">
        <v>79</v>
      </c>
      <c r="F25" s="9" t="s">
        <v>1</v>
      </c>
      <c r="G25" s="12">
        <v>13646.32</v>
      </c>
      <c r="H25" s="11">
        <v>0</v>
      </c>
      <c r="I25" s="11">
        <v>0</v>
      </c>
      <c r="J25" s="12">
        <v>1228.17</v>
      </c>
      <c r="BZ25" s="8"/>
      <c r="CC25" s="6" t="s">
        <v>107</v>
      </c>
    </row>
    <row r="26" spans="1:81" hidden="1" x14ac:dyDescent="0.25">
      <c r="A26" s="10" t="s">
        <v>63</v>
      </c>
      <c r="B26" s="9" t="s">
        <v>87</v>
      </c>
      <c r="C26" s="9" t="s">
        <v>26</v>
      </c>
      <c r="D26" s="9" t="s">
        <v>78</v>
      </c>
      <c r="E26" s="9" t="s">
        <v>79</v>
      </c>
      <c r="F26" s="9" t="s">
        <v>1</v>
      </c>
      <c r="G26" s="12">
        <v>100000</v>
      </c>
      <c r="H26" s="11">
        <v>0</v>
      </c>
      <c r="I26" s="12">
        <v>18000</v>
      </c>
      <c r="J26" s="11">
        <v>0</v>
      </c>
      <c r="BZ26" s="8"/>
      <c r="CC26" s="6" t="s">
        <v>107</v>
      </c>
    </row>
    <row r="27" spans="1:81" x14ac:dyDescent="0.25">
      <c r="A27" s="10" t="s">
        <v>64</v>
      </c>
      <c r="B27" s="9" t="s">
        <v>88</v>
      </c>
      <c r="C27" s="9" t="s">
        <v>27</v>
      </c>
      <c r="D27" s="9" t="s">
        <v>78</v>
      </c>
      <c r="E27" s="9" t="s">
        <v>79</v>
      </c>
      <c r="F27" s="9" t="s">
        <v>1</v>
      </c>
      <c r="G27" s="12">
        <v>10220</v>
      </c>
      <c r="H27" s="11">
        <v>0</v>
      </c>
      <c r="I27" s="11">
        <v>0</v>
      </c>
      <c r="J27" s="12">
        <v>919.8</v>
      </c>
      <c r="BZ27" s="8"/>
      <c r="CC27" s="6" t="s">
        <v>107</v>
      </c>
    </row>
    <row r="28" spans="1:81" x14ac:dyDescent="0.25">
      <c r="A28" s="10" t="s">
        <v>65</v>
      </c>
      <c r="B28" s="9" t="s">
        <v>88</v>
      </c>
      <c r="C28" s="9" t="s">
        <v>28</v>
      </c>
      <c r="D28" s="9" t="s">
        <v>78</v>
      </c>
      <c r="E28" s="9" t="s">
        <v>79</v>
      </c>
      <c r="F28" s="9" t="s">
        <v>1</v>
      </c>
      <c r="G28" s="12">
        <v>900</v>
      </c>
      <c r="H28" s="11">
        <v>0</v>
      </c>
      <c r="I28" s="11">
        <v>0</v>
      </c>
      <c r="J28" s="12">
        <v>81</v>
      </c>
      <c r="BZ28" s="8"/>
      <c r="CC28" s="6" t="s">
        <v>107</v>
      </c>
    </row>
    <row r="29" spans="1:81" x14ac:dyDescent="0.25">
      <c r="A29" s="10" t="s">
        <v>52</v>
      </c>
      <c r="B29" s="9" t="s">
        <v>88</v>
      </c>
      <c r="C29" s="9" t="s">
        <v>29</v>
      </c>
      <c r="D29" s="9" t="s">
        <v>78</v>
      </c>
      <c r="E29" s="9" t="s">
        <v>79</v>
      </c>
      <c r="F29" s="9" t="s">
        <v>1</v>
      </c>
      <c r="G29" s="12">
        <v>6800</v>
      </c>
      <c r="H29" s="11">
        <v>0</v>
      </c>
      <c r="I29" s="11">
        <v>0</v>
      </c>
      <c r="J29" s="12">
        <v>612</v>
      </c>
      <c r="BZ29" s="8"/>
      <c r="CC29" s="6" t="s">
        <v>107</v>
      </c>
    </row>
    <row r="30" spans="1:81" x14ac:dyDescent="0.25">
      <c r="A30" s="10" t="s">
        <v>56</v>
      </c>
      <c r="B30" s="9" t="s">
        <v>89</v>
      </c>
      <c r="C30" s="9" t="s">
        <v>30</v>
      </c>
      <c r="D30" s="9" t="s">
        <v>78</v>
      </c>
      <c r="E30" s="9" t="s">
        <v>79</v>
      </c>
      <c r="F30" s="9" t="s">
        <v>1</v>
      </c>
      <c r="G30" s="12">
        <v>9694.59</v>
      </c>
      <c r="H30" s="11">
        <v>0</v>
      </c>
      <c r="I30" s="12">
        <v>1745.03</v>
      </c>
      <c r="J30" s="11">
        <v>0</v>
      </c>
      <c r="BZ30" s="8"/>
      <c r="CC30" s="6" t="s">
        <v>107</v>
      </c>
    </row>
    <row r="31" spans="1:81" x14ac:dyDescent="0.25">
      <c r="A31" s="10" t="s">
        <v>58</v>
      </c>
      <c r="B31" s="9" t="s">
        <v>77</v>
      </c>
      <c r="C31" s="9" t="s">
        <v>31</v>
      </c>
      <c r="D31" s="9" t="s">
        <v>78</v>
      </c>
      <c r="E31" s="9" t="s">
        <v>79</v>
      </c>
      <c r="F31" s="9" t="s">
        <v>1</v>
      </c>
      <c r="G31" s="12">
        <v>26708.91</v>
      </c>
      <c r="H31" s="11">
        <v>0</v>
      </c>
      <c r="I31" s="11">
        <v>0</v>
      </c>
      <c r="J31" s="12">
        <v>2403.79</v>
      </c>
      <c r="BZ31" s="8"/>
      <c r="CC31" s="6" t="s">
        <v>107</v>
      </c>
    </row>
    <row r="32" spans="1:81" x14ac:dyDescent="0.25">
      <c r="A32" s="10" t="s">
        <v>66</v>
      </c>
      <c r="B32" s="9" t="s">
        <v>90</v>
      </c>
      <c r="C32" s="9" t="s">
        <v>32</v>
      </c>
      <c r="D32" s="9" t="s">
        <v>78</v>
      </c>
      <c r="E32" s="9" t="s">
        <v>79</v>
      </c>
      <c r="F32" s="9" t="s">
        <v>1</v>
      </c>
      <c r="G32" s="12">
        <v>10286.5</v>
      </c>
      <c r="H32" s="11">
        <v>0</v>
      </c>
      <c r="I32" s="11">
        <v>0</v>
      </c>
      <c r="J32" s="12">
        <v>925.79</v>
      </c>
      <c r="BZ32" s="8"/>
      <c r="CC32" s="6" t="s">
        <v>107</v>
      </c>
    </row>
    <row r="33" spans="1:81" x14ac:dyDescent="0.25">
      <c r="A33" s="10" t="s">
        <v>51</v>
      </c>
      <c r="B33" s="9" t="s">
        <v>87</v>
      </c>
      <c r="C33" s="9" t="s">
        <v>33</v>
      </c>
      <c r="D33" s="9" t="s">
        <v>78</v>
      </c>
      <c r="E33" s="9" t="s">
        <v>79</v>
      </c>
      <c r="F33" s="9" t="s">
        <v>1</v>
      </c>
      <c r="G33" s="12">
        <v>3200</v>
      </c>
      <c r="H33" s="11">
        <v>0</v>
      </c>
      <c r="I33" s="12">
        <v>576</v>
      </c>
      <c r="J33" s="11">
        <v>0</v>
      </c>
      <c r="BZ33" s="8"/>
      <c r="CC33" s="6" t="s">
        <v>107</v>
      </c>
    </row>
    <row r="34" spans="1:81" x14ac:dyDescent="0.25">
      <c r="A34" s="10" t="s">
        <v>54</v>
      </c>
      <c r="B34" s="9" t="s">
        <v>87</v>
      </c>
      <c r="C34" s="9" t="s">
        <v>34</v>
      </c>
      <c r="D34" s="9" t="s">
        <v>78</v>
      </c>
      <c r="E34" s="9" t="s">
        <v>79</v>
      </c>
      <c r="F34" s="9" t="s">
        <v>1</v>
      </c>
      <c r="G34" s="12">
        <v>1563</v>
      </c>
      <c r="H34" s="11">
        <v>0</v>
      </c>
      <c r="I34" s="12">
        <v>281</v>
      </c>
      <c r="J34" s="11">
        <v>0</v>
      </c>
      <c r="BZ34" s="8"/>
      <c r="CC34" s="6" t="s">
        <v>107</v>
      </c>
    </row>
    <row r="35" spans="1:81" x14ac:dyDescent="0.25">
      <c r="A35" s="10" t="s">
        <v>55</v>
      </c>
      <c r="B35" s="9" t="s">
        <v>87</v>
      </c>
      <c r="C35" s="9" t="s">
        <v>35</v>
      </c>
      <c r="D35" s="9" t="s">
        <v>78</v>
      </c>
      <c r="E35" s="9" t="s">
        <v>79</v>
      </c>
      <c r="F35" s="9" t="s">
        <v>1</v>
      </c>
      <c r="G35" s="12">
        <v>3350</v>
      </c>
      <c r="H35" s="11">
        <v>0</v>
      </c>
      <c r="I35" s="12">
        <v>603</v>
      </c>
      <c r="J35" s="11">
        <v>0</v>
      </c>
      <c r="BZ35" s="8"/>
      <c r="CC35" s="6" t="s">
        <v>107</v>
      </c>
    </row>
    <row r="36" spans="1:81" x14ac:dyDescent="0.25">
      <c r="A36" s="10" t="s">
        <v>54</v>
      </c>
      <c r="B36" s="9" t="s">
        <v>91</v>
      </c>
      <c r="C36" s="9" t="s">
        <v>36</v>
      </c>
      <c r="D36" s="9" t="s">
        <v>78</v>
      </c>
      <c r="E36" s="9" t="s">
        <v>79</v>
      </c>
      <c r="F36" s="9" t="s">
        <v>1</v>
      </c>
      <c r="G36" s="12">
        <v>23415</v>
      </c>
      <c r="H36" s="11">
        <v>0</v>
      </c>
      <c r="I36" s="12">
        <v>4214.7</v>
      </c>
      <c r="J36" s="11">
        <v>0</v>
      </c>
      <c r="BZ36" s="8"/>
      <c r="CC36" s="6" t="s">
        <v>107</v>
      </c>
    </row>
    <row r="37" spans="1:81" x14ac:dyDescent="0.25">
      <c r="A37" s="10" t="s">
        <v>67</v>
      </c>
      <c r="B37" s="9" t="s">
        <v>92</v>
      </c>
      <c r="C37" s="9" t="s">
        <v>37</v>
      </c>
      <c r="D37" s="9" t="s">
        <v>78</v>
      </c>
      <c r="E37" s="9" t="s">
        <v>79</v>
      </c>
      <c r="F37" s="9" t="s">
        <v>1</v>
      </c>
      <c r="G37" s="12">
        <v>180000</v>
      </c>
      <c r="H37" s="11">
        <v>0</v>
      </c>
      <c r="I37" s="11">
        <v>0</v>
      </c>
      <c r="J37" s="12">
        <v>16200</v>
      </c>
      <c r="BZ37" s="8"/>
      <c r="CC37" s="6" t="s">
        <v>107</v>
      </c>
    </row>
    <row r="38" spans="1:81" x14ac:dyDescent="0.25">
      <c r="A38" s="10" t="s">
        <v>68</v>
      </c>
      <c r="B38" s="9" t="s">
        <v>93</v>
      </c>
      <c r="C38" s="9" t="s">
        <v>38</v>
      </c>
      <c r="D38" s="9" t="s">
        <v>78</v>
      </c>
      <c r="E38" s="9" t="s">
        <v>79</v>
      </c>
      <c r="F38" s="9" t="s">
        <v>1</v>
      </c>
      <c r="G38" s="12">
        <v>19125</v>
      </c>
      <c r="H38" s="11">
        <v>0</v>
      </c>
      <c r="I38" s="11">
        <v>0</v>
      </c>
      <c r="J38" s="12">
        <v>1721.25</v>
      </c>
      <c r="BZ38" s="8"/>
      <c r="CC38" s="6" t="s">
        <v>107</v>
      </c>
    </row>
    <row r="39" spans="1:81" x14ac:dyDescent="0.25">
      <c r="A39" s="10" t="s">
        <v>56</v>
      </c>
      <c r="B39" s="9" t="s">
        <v>94</v>
      </c>
      <c r="C39" s="9" t="s">
        <v>39</v>
      </c>
      <c r="D39" s="9" t="s">
        <v>78</v>
      </c>
      <c r="E39" s="9" t="s">
        <v>79</v>
      </c>
      <c r="F39" s="9" t="s">
        <v>1</v>
      </c>
      <c r="G39" s="12">
        <v>407550</v>
      </c>
      <c r="H39" s="11">
        <v>0</v>
      </c>
      <c r="I39" s="12">
        <v>73359</v>
      </c>
      <c r="J39" s="11">
        <v>0</v>
      </c>
      <c r="BZ39" s="8"/>
      <c r="CC39" s="6" t="s">
        <v>107</v>
      </c>
    </row>
    <row r="40" spans="1:81" x14ac:dyDescent="0.25">
      <c r="A40" s="10" t="s">
        <v>56</v>
      </c>
      <c r="B40" s="9" t="s">
        <v>94</v>
      </c>
      <c r="C40" s="9" t="s">
        <v>40</v>
      </c>
      <c r="D40" s="9" t="s">
        <v>78</v>
      </c>
      <c r="E40" s="9" t="s">
        <v>79</v>
      </c>
      <c r="F40" s="9" t="s">
        <v>1</v>
      </c>
      <c r="G40" s="12">
        <v>473880</v>
      </c>
      <c r="H40" s="11">
        <v>0</v>
      </c>
      <c r="I40" s="12">
        <v>85298.4</v>
      </c>
      <c r="J40" s="11">
        <v>0</v>
      </c>
      <c r="BZ40" s="8"/>
      <c r="CC40" s="6" t="s">
        <v>107</v>
      </c>
    </row>
    <row r="41" spans="1:81" x14ac:dyDescent="0.25">
      <c r="A41" s="10" t="s">
        <v>64</v>
      </c>
      <c r="B41" s="9" t="s">
        <v>94</v>
      </c>
      <c r="C41" s="9" t="s">
        <v>41</v>
      </c>
      <c r="D41" s="9" t="s">
        <v>78</v>
      </c>
      <c r="E41" s="9" t="s">
        <v>79</v>
      </c>
      <c r="F41" s="9" t="s">
        <v>1</v>
      </c>
      <c r="G41" s="12">
        <v>490880</v>
      </c>
      <c r="H41" s="11">
        <v>0</v>
      </c>
      <c r="I41" s="12">
        <v>88358.399999999994</v>
      </c>
      <c r="J41" s="11">
        <v>0</v>
      </c>
      <c r="BZ41" s="8"/>
      <c r="CC41" s="6" t="s">
        <v>107</v>
      </c>
    </row>
    <row r="42" spans="1:81" x14ac:dyDescent="0.25">
      <c r="A42" s="10" t="s">
        <v>58</v>
      </c>
      <c r="B42" s="9" t="s">
        <v>94</v>
      </c>
      <c r="C42" s="9" t="s">
        <v>42</v>
      </c>
      <c r="D42" s="9" t="s">
        <v>78</v>
      </c>
      <c r="E42" s="9" t="s">
        <v>79</v>
      </c>
      <c r="F42" s="9" t="s">
        <v>1</v>
      </c>
      <c r="G42" s="12">
        <v>337920</v>
      </c>
      <c r="H42" s="11">
        <v>0</v>
      </c>
      <c r="I42" s="12">
        <v>60825.599999999999</v>
      </c>
      <c r="J42" s="11">
        <v>0</v>
      </c>
      <c r="BZ42" s="8"/>
      <c r="CC42" s="6" t="s">
        <v>107</v>
      </c>
    </row>
    <row r="43" spans="1:81" x14ac:dyDescent="0.25">
      <c r="A43" s="10" t="s">
        <v>52</v>
      </c>
      <c r="B43" s="9" t="s">
        <v>94</v>
      </c>
      <c r="C43" s="9" t="s">
        <v>43</v>
      </c>
      <c r="D43" s="9" t="s">
        <v>78</v>
      </c>
      <c r="E43" s="9" t="s">
        <v>79</v>
      </c>
      <c r="F43" s="9" t="s">
        <v>1</v>
      </c>
      <c r="G43" s="12">
        <v>1905000</v>
      </c>
      <c r="H43" s="11">
        <v>0</v>
      </c>
      <c r="I43" s="12">
        <v>342900</v>
      </c>
      <c r="J43" s="11">
        <v>0</v>
      </c>
      <c r="BZ43" s="8"/>
      <c r="CC43" s="6" t="s">
        <v>107</v>
      </c>
    </row>
    <row r="44" spans="1:81" x14ac:dyDescent="0.25">
      <c r="A44" s="10" t="s">
        <v>54</v>
      </c>
      <c r="B44" s="9" t="s">
        <v>94</v>
      </c>
      <c r="C44" s="9" t="s">
        <v>44</v>
      </c>
      <c r="D44" s="9" t="s">
        <v>78</v>
      </c>
      <c r="E44" s="9" t="s">
        <v>79</v>
      </c>
      <c r="F44" s="9" t="s">
        <v>1</v>
      </c>
      <c r="G44" s="12">
        <v>593340</v>
      </c>
      <c r="H44" s="11">
        <v>0</v>
      </c>
      <c r="I44" s="12">
        <v>106801.2</v>
      </c>
      <c r="J44" s="11">
        <v>0</v>
      </c>
      <c r="BZ44" s="8"/>
      <c r="CC44" s="6" t="s">
        <v>107</v>
      </c>
    </row>
    <row r="45" spans="1:81" x14ac:dyDescent="0.25">
      <c r="A45" s="10" t="s">
        <v>69</v>
      </c>
      <c r="B45" s="9" t="s">
        <v>94</v>
      </c>
      <c r="C45" s="9" t="s">
        <v>45</v>
      </c>
      <c r="D45" s="9" t="s">
        <v>78</v>
      </c>
      <c r="E45" s="9" t="s">
        <v>79</v>
      </c>
      <c r="F45" s="9" t="s">
        <v>1</v>
      </c>
      <c r="G45" s="12">
        <v>593340</v>
      </c>
      <c r="H45" s="11">
        <v>0</v>
      </c>
      <c r="I45" s="12">
        <v>106801.2</v>
      </c>
      <c r="J45" s="11">
        <v>0</v>
      </c>
      <c r="BZ45" s="8"/>
      <c r="CC45" s="6" t="s">
        <v>107</v>
      </c>
    </row>
    <row r="46" spans="1:81" x14ac:dyDescent="0.25">
      <c r="A46" s="10" t="s">
        <v>69</v>
      </c>
      <c r="B46" s="9" t="s">
        <v>94</v>
      </c>
      <c r="C46" s="9" t="s">
        <v>46</v>
      </c>
      <c r="D46" s="9" t="s">
        <v>78</v>
      </c>
      <c r="E46" s="9" t="s">
        <v>79</v>
      </c>
      <c r="F46" s="9" t="s">
        <v>1</v>
      </c>
      <c r="G46" s="12">
        <v>919095</v>
      </c>
      <c r="H46" s="11">
        <v>0</v>
      </c>
      <c r="I46" s="12">
        <v>165437.1</v>
      </c>
      <c r="J46" s="11">
        <v>0</v>
      </c>
      <c r="BZ46" s="8"/>
      <c r="CC46" s="6" t="s">
        <v>107</v>
      </c>
    </row>
    <row r="47" spans="1:81" x14ac:dyDescent="0.25">
      <c r="A47" s="10" t="s">
        <v>53</v>
      </c>
      <c r="B47" s="9" t="s">
        <v>94</v>
      </c>
      <c r="C47" s="9" t="s">
        <v>47</v>
      </c>
      <c r="D47" s="9" t="s">
        <v>78</v>
      </c>
      <c r="E47" s="9" t="s">
        <v>79</v>
      </c>
      <c r="F47" s="9" t="s">
        <v>1</v>
      </c>
      <c r="G47" s="12">
        <v>1445590</v>
      </c>
      <c r="H47" s="11">
        <v>0</v>
      </c>
      <c r="I47" s="12">
        <v>260206.2</v>
      </c>
      <c r="J47" s="11">
        <v>0</v>
      </c>
      <c r="BZ47" s="8"/>
      <c r="CC47" s="6" t="s">
        <v>107</v>
      </c>
    </row>
    <row r="48" spans="1:81" x14ac:dyDescent="0.25">
      <c r="A48" s="10" t="s">
        <v>53</v>
      </c>
      <c r="B48" s="9" t="s">
        <v>94</v>
      </c>
      <c r="C48" s="9" t="s">
        <v>48</v>
      </c>
      <c r="D48" s="9" t="s">
        <v>78</v>
      </c>
      <c r="E48" s="9" t="s">
        <v>79</v>
      </c>
      <c r="F48" s="9" t="s">
        <v>1</v>
      </c>
      <c r="G48" s="12">
        <v>593340</v>
      </c>
      <c r="H48" s="11">
        <v>0</v>
      </c>
      <c r="I48" s="12">
        <v>106801.2</v>
      </c>
      <c r="J48" s="11">
        <v>0</v>
      </c>
      <c r="BZ48" s="8"/>
      <c r="CC48" s="6" t="s">
        <v>107</v>
      </c>
    </row>
    <row r="49" spans="1:81" x14ac:dyDescent="0.25">
      <c r="A49" s="10" t="s">
        <v>62</v>
      </c>
      <c r="B49" s="9" t="s">
        <v>95</v>
      </c>
      <c r="C49" s="9" t="s">
        <v>49</v>
      </c>
      <c r="D49" s="9" t="s">
        <v>78</v>
      </c>
      <c r="E49" s="9" t="s">
        <v>79</v>
      </c>
      <c r="F49" s="9" t="s">
        <v>1</v>
      </c>
      <c r="G49" s="12">
        <v>3870.53</v>
      </c>
      <c r="H49" s="11">
        <v>0</v>
      </c>
      <c r="I49" s="11">
        <v>0</v>
      </c>
      <c r="J49" s="12">
        <v>348.35</v>
      </c>
      <c r="BZ49" s="8"/>
      <c r="CC49" s="6" t="s">
        <v>107</v>
      </c>
    </row>
    <row r="50" spans="1:81" x14ac:dyDescent="0.25">
      <c r="A50" s="10" t="s">
        <v>62</v>
      </c>
      <c r="B50" s="9" t="s">
        <v>96</v>
      </c>
      <c r="C50" s="9" t="s">
        <v>50</v>
      </c>
      <c r="D50" s="9" t="s">
        <v>78</v>
      </c>
      <c r="E50" s="9" t="s">
        <v>79</v>
      </c>
      <c r="F50" s="9" t="s">
        <v>1</v>
      </c>
      <c r="G50" s="12">
        <v>35464.800000000003</v>
      </c>
      <c r="H50" s="11">
        <v>0</v>
      </c>
      <c r="I50" s="12">
        <v>6383.66</v>
      </c>
      <c r="J50" s="11">
        <v>0</v>
      </c>
      <c r="BZ50" s="8"/>
      <c r="CC50" s="6" t="s">
        <v>107</v>
      </c>
    </row>
    <row r="51" spans="1:81" ht="225" x14ac:dyDescent="0.25">
      <c r="G51" s="13">
        <f>SUBTOTAL(9,G2:G50)</f>
        <v>8386056.1500000004</v>
      </c>
      <c r="H51" s="13">
        <f t="shared" ref="H51:J51" si="0">SUBTOTAL(9,H2:H50)</f>
        <v>102.5</v>
      </c>
      <c r="I51" s="13">
        <f t="shared" si="0"/>
        <v>1427440.4699999997</v>
      </c>
      <c r="J51" s="13">
        <f t="shared" si="0"/>
        <v>40840.120000000003</v>
      </c>
      <c r="BZ51" s="8"/>
      <c r="CC51" s="8" t="s">
        <v>110</v>
      </c>
    </row>
  </sheetData>
  <autoFilter ref="A1:BZ51">
    <filterColumn colId="0">
      <filters blank="1">
        <filter val="01/11/2025"/>
        <filter val="03/11/2025"/>
        <filter val="04/11/2025"/>
        <filter val="05/11/2025"/>
        <filter val="07/11/2025"/>
        <filter val="10/11/2025"/>
        <filter val="11/11/2025"/>
        <filter val="12/11/2025"/>
        <filter val="13/11/2025"/>
        <filter val="14/11/2025"/>
        <filter val="15/11/2025"/>
        <filter val="17/11/2025"/>
        <filter val="19/11/2025"/>
        <filter val="20/11/2025"/>
        <filter val="25/11/2025"/>
        <filter val="26/11/2025"/>
        <filter val="27/11/2025"/>
        <filter val="29/11/2025"/>
        <dateGroupItem year="2025" dateTimeGrouping="year"/>
      </filters>
    </filterColumn>
  </autoFilter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RMHAC21</dc:creator>
  <cp:lastModifiedBy>RMHAC19</cp:lastModifiedBy>
  <dcterms:created xsi:type="dcterms:W3CDTF">2025-12-15T07:39:08Z</dcterms:created>
  <dcterms:modified xsi:type="dcterms:W3CDTF">2026-01-12T06:26:04Z</dcterms:modified>
</cp:coreProperties>
</file>